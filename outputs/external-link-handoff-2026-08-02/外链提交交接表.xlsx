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9f33c4a87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免费提交队列" sheetId="1" r:id="Ra275145d8cfa4f28"/>
    <x:sheet xmlns:r="http://schemas.openxmlformats.org/officeDocument/2006/relationships" name="今日提交记录" sheetId="2" r:id="R11ac173bc1284339"/>
    <x:sheet xmlns:r="http://schemas.openxmlformats.org/officeDocument/2006/relationships" name="阻塞与排除" sheetId="3" r:id="R001624ee059c47fa"/>
    <x:sheet xmlns:r="http://schemas.openxmlformats.org/officeDocument/2006/relationships" name="AI交接说明" sheetId="4" r:id="Reedb04a4ca64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sz val="11"/>
      <x:color rgb="FF17202A"/>
      <x:name val="Carlito"/>
    </x:font>
    <x:font>
      <x:b/>
      <x:sz val="11"/>
      <x:color rgb="FF15324B"/>
      <x:name val="Carlito"/>
    </x:font>
    <x:font>
      <x:b/>
      <x:sz val="11"/>
      <x:color rgb="FFFFFFFF"/>
      <x:name val="Carlito"/>
    </x:font>
    <x:font>
      <x:sz val="10"/>
      <x:color rgb="FF1720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ca87e8b0a4543" /><Relationship Type="http://schemas.openxmlformats.org/officeDocument/2006/relationships/theme" Target="/xl/theme/theme1.xml" Id="Rf0aaab9fd5364cf8" /><Relationship Type="http://schemas.openxmlformats.org/officeDocument/2006/relationships/sharedStrings" Target="/xl/sharedStrings.xml" Id="Rd262a90738d845d2" /><Relationship Type="http://schemas.openxmlformats.org/officeDocument/2006/relationships/worksheet" Target="/xl/worksheets/sheet1.xml" Id="Ra275145d8cfa4f28" /><Relationship Type="http://schemas.openxmlformats.org/officeDocument/2006/relationships/worksheet" Target="/xl/worksheets/sheet2.xml" Id="R11ac173bc1284339" /><Relationship Type="http://schemas.openxmlformats.org/officeDocument/2006/relationships/worksheet" Target="/xl/worksheets/sheet3.xml" Id="R001624ee059c47fa" /><Relationship Type="http://schemas.openxmlformats.org/officeDocument/2006/relationships/worksheet" Target="/xl/worksheets/sheet4.xml" Id="Reedb04a4ca644816" /><Relationship Type="http://schemas.microsoft.com/office/2017/10/relationships/person" Target="/xl/persons/person.xml" Id="Re6a2e88f9e2e4b94" /></Relationships>
</file>

<file path=xl/persons/person.xml><?xml version="1.0" encoding="utf-8"?>
<xltc:personList xmlns:xltc="http://schemas.microsoft.com/office/spreadsheetml/2018/threadedcomments">
  <xltc:person displayName="Syndred Young" id="{67F11981-5726-4DAB-820F-0BD19E96770F}"/>
</xltc:personList>
</file>

<file path=xl/tables/table1.xml><?xml version="1.0" encoding="utf-8"?>
<x:table xmlns:x="http://schemas.openxmlformats.org/spreadsheetml/2006/main" id="1" name="FreeSubmissionQueue" displayName="FreeSubmissionQueue" ref="A5:L55" headerRowCount="1" totalsRowCount="0" totalsRowShown="0">
  <x:tableColumns count="12">
    <x:tableColumn id="1" name="优先级"/>
    <x:tableColumn id="2" name="平台"/>
    <x:tableColumn id="3" name="域名"/>
    <x:tableColumn id="4" name="免费可信度"/>
    <x:tableColumn id="5" name="提交入口"/>
    <x:tableColumn id="6" name="RainbowPetAI 状态"/>
    <x:tableColumn id="7" name="最近日期"/>
    <x:tableColumn id="8" name="人工闸门"/>
    <x:tableColumn id="9" name="媒体检查"/>
    <x:tableColumn id="10" name="证据 / 备注"/>
    <x:tableColumn id="11" name="下次动作"/>
    <x:tableColumn id="12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daySubmissionLog" displayName="TodaySubmissionLog" ref="A4:G16" headerRowCount="1" totalsRowCount="0" totalsRowShown="0">
  <x:tableColumns count="7">
    <x:tableColumn id="1" name="平台"/>
    <x:tableColumn id="2" name="链接 / 回执"/>
    <x:tableColumn id="3" name="结果"/>
    <x:tableColumn id="4" name="确认来源"/>
    <x:tableColumn id="5" name="日期时间"/>
    <x:tableColumn id="6" name="成功证据 / 阻塞"/>
    <x:tableColumn id="7" name="后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ockedSubmissionSites" displayName="BlockedSubmissionSites" ref="A4:H10" headerRowCount="1" totalsRowCount="0" totalsRowShown="0">
  <x:tableColumns count="8">
    <x:tableColumn id="1" name="平台"/>
    <x:tableColumn id="2" name="域名"/>
    <x:tableColumn id="3" name="分类"/>
    <x:tableColumn id="4" name="闸门"/>
    <x:tableColumn id="5" name="入口"/>
    <x:tableColumn id="6" name="证据 / 原因"/>
    <x:tableColumn id="7" name="处理规则"/>
    <x:tableColumn id="8" name="核对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f53f6a46cd41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6091a3d94345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80564c391746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2" hidden="0" customWidth="1"/>
    <x:col min="4" max="4" width="21" hidden="0" customWidth="1"/>
    <x:col min="5" max="5" width="42" hidden="0" customWidth="1"/>
    <x:col min="6" max="6" width="18" hidden="0" customWidth="1"/>
    <x:col min="7" max="7" width="13" hidden="0" customWidth="1"/>
    <x:col min="8" max="8" width="16" hidden="0" customWidth="1"/>
    <x:col min="9" max="9" width="26" hidden="0" customWidth="1"/>
    <x:col min="10" max="10" width="46" hidden="0" customWidth="1"/>
    <x:col min="11" max="11" width="34" hidden="0" customWidth="1"/>
    <x:col min="12" max="12" width="40" hidden="0" customWidth="1"/>
  </x:cols>
  <x:sheetData>
    <x:row r="1" ht="34" customHeight="1">
      <x:c r="A1" s="3" t="str">
        <x:v>ExternalLink 免费外链提交交接表</x:v>
      </x:c>
    </x:row>
    <x:row r="2" ht="30" customHeight="1">
      <x:c r="A2" s="7" t="str">
        <x:v>优先处理“待提交”；已成功组合必须跳过。来源标注免费不等于实时已验证，打开页面后先复核价格与入口。</x:v>
      </x:c>
    </x:row>
    <x:row r="3">
      <x:c r="A3" s="11" t="str">
        <x:v>待提交</x:v>
      </x:c>
      <x:c r="B3" s="11"/>
      <x:c r="C3" s="11" t="str">
        <x:v>待人工 / 未确认</x:v>
      </x:c>
      <x:c r="D3" s="11"/>
      <x:c r="E3" s="11" t="str">
        <x:v>已成功</x:v>
      </x:c>
      <x:c r="F3" s="11"/>
      <x:c r="G3" s="11" t="str">
        <x:v>总免费候选</x:v>
      </x:c>
      <x:c r="H3" s="11"/>
      <x:c r="I3" s="11" t="str">
        <x:v>账本 Profile</x:v>
      </x:c>
      <x:c r="J3" s="11"/>
      <x:c r="K3" s="11" t="str">
        <x:v>更新日期</x:v>
      </x:c>
      <x:c r="L3" s="10"/>
    </x:row>
    <x:row r="4">
      <x:c r="A4" s="10" t="n">
        <x:f>COUNTIF(F6:F200,"待提交")</x:f>
        <x:v>38</x:v>
      </x:c>
      <x:c r="B4" s="10"/>
      <x:c r="C4" s="10" t="n">
        <x:f>COUNTIF(F6:F200,"待人工")+COUNTIF(F6:F200,"未确认")</x:f>
        <x:v>6</x:v>
      </x:c>
      <x:c r="D4" s="10"/>
      <x:c r="E4" s="10" t="n">
        <x:f>COUNTIF(F6:F200,"已提交/待审核")+COUNTIF(F6:F200,"已提交/排队")+COUNTIF(F6:F200,"已提交/已排期")</x:f>
        <x:v>6</x:v>
      </x:c>
      <x:c r="F4" s="10"/>
      <x:c r="G4" s="10" t="n">
        <x:f>50</x:f>
        <x:v>50</x:v>
      </x:c>
      <x:c r="H4" s="10"/>
      <x:c r="I4" s="10" t="str">
        <x:v>RainbowPetAI</x:v>
      </x:c>
      <x:c r="J4" s="10"/>
      <x:c r="K4" s="12" t="n">
        <x:v>46236.5</x:v>
      </x:c>
      <x:c r="L4" s="10"/>
    </x:row>
    <x:row r="5">
      <x:c r="A5" s="16" t="str">
        <x:v>优先级</x:v>
      </x:c>
      <x:c r="B5" s="16" t="str">
        <x:v>平台</x:v>
      </x:c>
      <x:c r="C5" s="16" t="str">
        <x:v>域名</x:v>
      </x:c>
      <x:c r="D5" s="16" t="str">
        <x:v>免费可信度</x:v>
      </x:c>
      <x:c r="E5" s="16" t="str">
        <x:v>提交入口</x:v>
      </x:c>
      <x:c r="F5" s="16" t="str">
        <x:v>RainbowPetAI 状态</x:v>
      </x:c>
      <x:c r="G5" s="16" t="str">
        <x:v>最近日期</x:v>
      </x:c>
      <x:c r="H5" s="16" t="str">
        <x:v>人工闸门</x:v>
      </x:c>
      <x:c r="I5" s="16" t="str">
        <x:v>媒体检查</x:v>
      </x:c>
      <x:c r="J5" s="16" t="str">
        <x:v>证据 / 备注</x:v>
      </x:c>
      <x:c r="K5" s="16" t="str">
        <x:v>下次动作</x:v>
      </x:c>
      <x:c r="L5" s="16" t="str">
        <x:v>来源链接</x:v>
      </x:c>
    </x:row>
    <x:row r="6" ht="44" customHeight="1">
      <x:c r="A6" s="27" t="n">
        <x:v>1</x:v>
      </x:c>
      <x:c r="B6" s="24" t="str">
        <x:v>SourceForge</x:v>
      </x:c>
      <x:c r="C6" s="24" t="str">
        <x:v>sourceforge.net</x:v>
      </x:c>
      <x:c r="D6" s="24" t="str">
        <x:v>来源标注免费（待复核）</x:v>
      </x:c>
      <x:c r="E6" s="24" t="str">
        <x:v>https://sourceforge.net/</x:v>
      </x:c>
      <x:c r="F6" s="24" t="str">
        <x:v>待提交</x:v>
      </x:c>
      <x:c r="G6" s="30" t="str"/>
      <x:c r="H6" s="24" t="str">
        <x:v>待验证</x:v>
      </x:c>
      <x:c r="I6" s="24" t="str">
        <x:v>按站点要求；上传后核对 files/预览</x:v>
      </x:c>
      <x:c r="J6" s="24" t="str">
        <x:v>SourceForge; Free; DR 92; strong software directory, best for web/software tools.</x:v>
      </x:c>
      <x:c r="K6" s="24" t="str">
        <x:v>打开入口，先复核免费路线再填表</x:v>
      </x:c>
      <x:c r="L6" s="24" t="str">
        <x:v>https://sourceforge.net/</x:v>
      </x:c>
    </x:row>
    <x:row r="7" ht="44" customHeight="1">
      <x:c r="A7" s="28" t="n">
        <x:v>1</x:v>
      </x:c>
      <x:c r="B7" s="25" t="str">
        <x:v>AI Tools Neil Patel</x:v>
      </x:c>
      <x:c r="C7" s="25" t="str">
        <x:v>aitools.neilpatel.com</x:v>
      </x:c>
      <x:c r="D7" s="25" t="str">
        <x:v>来源标注免费（待复核）</x:v>
      </x:c>
      <x:c r="E7" s="25" t="str">
        <x:v>https://aitools.neilpatel.com/</x:v>
      </x:c>
      <x:c r="F7" s="25" t="str">
        <x:v>待提交</x:v>
      </x:c>
      <x:c r="G7" s="31" t="str"/>
      <x:c r="H7" s="25" t="str">
        <x:v>待验证</x:v>
      </x:c>
      <x:c r="I7" s="25" t="str">
        <x:v>按站点要求；上传后核对 files/预览</x:v>
      </x:c>
      <x:c r="J7" s="25" t="str">
        <x:v>AI Tools Neil Patel; Free; DR 91; AI tool listing.</x:v>
      </x:c>
      <x:c r="K7" s="25" t="str">
        <x:v>打开入口，先复核免费路线再填表</x:v>
      </x:c>
      <x:c r="L7" s="25" t="str">
        <x:v>https://aitools.neilpatel.com/</x:v>
      </x:c>
    </x:row>
    <x:row r="8" ht="44" customHeight="1">
      <x:c r="A8" s="28" t="n">
        <x:v>1</x:v>
      </x:c>
      <x:c r="B8" s="25" t="str">
        <x:v>Product Hunt</x:v>
      </x:c>
      <x:c r="C8" s="25" t="str">
        <x:v>producthunt.com</x:v>
      </x:c>
      <x:c r="D8" s="25" t="str">
        <x:v>来源标注免费（待复核）</x:v>
      </x:c>
      <x:c r="E8" s="25" t="str">
        <x:v>https://www.producthunt.com/</x:v>
      </x:c>
      <x:c r="F8" s="25" t="str">
        <x:v>待提交</x:v>
      </x:c>
      <x:c r="G8" s="31" t="str"/>
      <x:c r="H8" s="25" t="str">
        <x:v>社区账号</x:v>
      </x:c>
      <x:c r="I8" s="25" t="str">
        <x:v>按站点要求；上传后核对 files/预览</x:v>
      </x:c>
      <x:c r="J8" s="25" t="str">
        <x:v>Product Hunt; Free/community; DA 91 / DR 75; best for public launch day.</x:v>
      </x:c>
      <x:c r="K8" s="25" t="str">
        <x:v>打开入口，先复核免费路线再填表</x:v>
      </x:c>
      <x:c r="L8" s="25" t="str">
        <x:v>https://www.producthunt.com/</x:v>
      </x:c>
    </x:row>
    <x:row r="9" ht="44" customHeight="1">
      <x:c r="A9" s="28" t="n">
        <x:v>1</x:v>
      </x:c>
      <x:c r="B9" s="25" t="str">
        <x:v>Hacker News / Y Combinator</x:v>
      </x:c>
      <x:c r="C9" s="25" t="str">
        <x:v>news.ycombinator.com</x:v>
      </x:c>
      <x:c r="D9" s="25" t="str">
        <x:v>来源标注免费（待复核）</x:v>
      </x:c>
      <x:c r="E9" s="25" t="str">
        <x:v>https://news.ycombinator.com/</x:v>
      </x:c>
      <x:c r="F9" s="25" t="str">
        <x:v>待提交</x:v>
      </x:c>
      <x:c r="G9" s="31" t="str"/>
      <x:c r="H9" s="25" t="str">
        <x:v>社区账号</x:v>
      </x:c>
      <x:c r="I9" s="25" t="str">
        <x:v>按站点要求；上传后核对 files/预览</x:v>
      </x:c>
      <x:c r="J9" s="25" t="str">
        <x:v>Hacker News / Y Combinator; Community; DA 91 / KD 70; submit useful launch/story links carefully.</x:v>
      </x:c>
      <x:c r="K9" s="25" t="str">
        <x:v>打开入口，先复核免费路线再填表</x:v>
      </x:c>
      <x:c r="L9" s="25" t="str">
        <x:v>https://news.ycombinator.com/</x:v>
      </x:c>
    </x:row>
    <x:row r="10" ht="44" customHeight="1">
      <x:c r="A10" s="28" t="n">
        <x:v>1</x:v>
      </x:c>
      <x:c r="B10" s="25" t="str">
        <x:v>Startup88</x:v>
      </x:c>
      <x:c r="C10" s="25" t="str">
        <x:v>startup88.com</x:v>
      </x:c>
      <x:c r="D10" s="25" t="str">
        <x:v>来源标注免费（待复核）</x:v>
      </x:c>
      <x:c r="E10" s="25" t="str">
        <x:v>https://startup88.com/</x:v>
      </x:c>
      <x:c r="F10" s="25" t="str">
        <x:v>待提交</x:v>
      </x:c>
      <x:c r="G10" s="31" t="str"/>
      <x:c r="H10" s="25" t="str">
        <x:v>待验证</x:v>
      </x:c>
      <x:c r="I10" s="25" t="str">
        <x:v>按站点要求；上传后核对 files/预览</x:v>
      </x:c>
      <x:c r="J10" s="25" t="str">
        <x:v>Startup88; Free; DR 88; startup directory submission.</x:v>
      </x:c>
      <x:c r="K10" s="25" t="str">
        <x:v>打开入口，先复核免费路线再填表</x:v>
      </x:c>
      <x:c r="L10" s="25" t="str">
        <x:v>https://startup88.com/</x:v>
      </x:c>
    </x:row>
    <x:row r="11" ht="44" customHeight="1">
      <x:c r="A11" s="28" t="n">
        <x:v>1</x:v>
      </x:c>
      <x:c r="B11" s="25" t="str">
        <x:v>FinancesOnline</x:v>
      </x:c>
      <x:c r="C11" s="25" t="str">
        <x:v>financesonline.com</x:v>
      </x:c>
      <x:c r="D11" s="25" t="str">
        <x:v>来源标注免费（待复核）</x:v>
      </x:c>
      <x:c r="E11" s="25" t="str">
        <x:v>https://financesonline.com/</x:v>
      </x:c>
      <x:c r="F11" s="25" t="str">
        <x:v>待提交</x:v>
      </x:c>
      <x:c r="G11" s="31" t="str"/>
      <x:c r="H11" s="25" t="str">
        <x:v>待验证</x:v>
      </x:c>
      <x:c r="I11" s="25" t="str">
        <x:v>按站点要求；上传后核对 files/预览</x:v>
      </x:c>
      <x:c r="J11" s="25" t="str">
        <x:v>FinancesOnline; Free; DR 87; software/product review directory.</x:v>
      </x:c>
      <x:c r="K11" s="25" t="str">
        <x:v>打开入口，先复核免费路线再填表</x:v>
      </x:c>
      <x:c r="L11" s="25" t="str">
        <x:v>https://financesonline.com/</x:v>
      </x:c>
    </x:row>
    <x:row r="12" ht="44" customHeight="1">
      <x:c r="A12" s="28" t="n">
        <x:v>1</x:v>
      </x:c>
      <x:c r="B12" s="25" t="str">
        <x:v>Devpost</x:v>
      </x:c>
      <x:c r="C12" s="25" t="str">
        <x:v>devpost.com</x:v>
      </x:c>
      <x:c r="D12" s="25" t="str">
        <x:v>来源标注免费（待复核）</x:v>
      </x:c>
      <x:c r="E12" s="25" t="str">
        <x:v>https://devpost.com/software</x:v>
      </x:c>
      <x:c r="F12" s="25" t="str">
        <x:v>待提交</x:v>
      </x:c>
      <x:c r="G12" s="31" t="str"/>
      <x:c r="H12" s="25" t="str">
        <x:v>待验证</x:v>
      </x:c>
      <x:c r="I12" s="25" t="str">
        <x:v>按站点要求；上传后核对 files/预览</x:v>
      </x:c>
      <x:c r="J12" s="25" t="str">
        <x:v>Devpost; Free; DA 86; software/project showcase, good for developer-facing tools.</x:v>
      </x:c>
      <x:c r="K12" s="25" t="str">
        <x:v>打开入口，先复核免费路线再填表</x:v>
      </x:c>
      <x:c r="L12" s="25" t="str">
        <x:v>https://devpost.com/software</x:v>
      </x:c>
    </x:row>
    <x:row r="13" ht="44" customHeight="1">
      <x:c r="A13" s="28" t="n">
        <x:v>1</x:v>
      </x:c>
      <x:c r="B13" s="25" t="str">
        <x:v>F6S</x:v>
      </x:c>
      <x:c r="C13" s="25" t="str">
        <x:v>f6s.com</x:v>
      </x:c>
      <x:c r="D13" s="25" t="str">
        <x:v>来源标注免费（待复核）</x:v>
      </x:c>
      <x:c r="E13" s="25" t="str">
        <x:v>https://www.f6s.com/</x:v>
      </x:c>
      <x:c r="F13" s="25" t="str">
        <x:v>待提交</x:v>
      </x:c>
      <x:c r="G13" s="31" t="str"/>
      <x:c r="H13" s="25" t="str">
        <x:v>社区账号</x:v>
      </x:c>
      <x:c r="I13" s="25" t="str">
        <x:v>按站点要求；上传后核对 files/预览</x:v>
      </x:c>
      <x:c r="J13" s="25" t="str">
        <x:v>F6S; Free; DR 86; startup/community profile.</x:v>
      </x:c>
      <x:c r="K13" s="25" t="str">
        <x:v>打开入口，先复核免费路线再填表</x:v>
      </x:c>
      <x:c r="L13" s="25" t="str">
        <x:v>https://www.f6s.com/</x:v>
      </x:c>
    </x:row>
    <x:row r="14" ht="44" customHeight="1">
      <x:c r="A14" s="28" t="n">
        <x:v>1</x:v>
      </x:c>
      <x:c r="B14" s="25" t="str">
        <x:v>YourStory</x:v>
      </x:c>
      <x:c r="C14" s="25" t="str">
        <x:v>yourstory.com</x:v>
      </x:c>
      <x:c r="D14" s="25" t="str">
        <x:v>来源标注免费（待复核）</x:v>
      </x:c>
      <x:c r="E14" s="25" t="str">
        <x:v>https://yourstory.com/</x:v>
      </x:c>
      <x:c r="F14" s="25" t="str">
        <x:v>待提交</x:v>
      </x:c>
      <x:c r="G14" s="31" t="str"/>
      <x:c r="H14" s="25" t="str">
        <x:v>待验证</x:v>
      </x:c>
      <x:c r="I14" s="25" t="str">
        <x:v>按站点要求；上传后核对 files/预览</x:v>
      </x:c>
      <x:c r="J14" s="25" t="str">
        <x:v>YourStory; Free; DR 86; startup/media submission route from source list.</x:v>
      </x:c>
      <x:c r="K14" s="25" t="str">
        <x:v>打开入口，先复核免费路线再填表</x:v>
      </x:c>
      <x:c r="L14" s="25" t="str">
        <x:v>https://yourstory.com/</x:v>
      </x:c>
    </x:row>
    <x:row r="15" ht="44" customHeight="1">
      <x:c r="A15" s="28" t="n">
        <x:v>1</x:v>
      </x:c>
      <x:c r="B15" s="25" t="str">
        <x:v>Crunchbase</x:v>
      </x:c>
      <x:c r="C15" s="25" t="str">
        <x:v>crunchbase.com</x:v>
      </x:c>
      <x:c r="D15" s="25" t="str">
        <x:v>来源标注免费（待复核）</x:v>
      </x:c>
      <x:c r="E15" s="25" t="str">
        <x:v>https://www.crunchbase.com/</x:v>
      </x:c>
      <x:c r="F15" s="25" t="str">
        <x:v>待提交</x:v>
      </x:c>
      <x:c r="G15" s="31" t="str"/>
      <x:c r="H15" s="25" t="str">
        <x:v>待验证</x:v>
      </x:c>
      <x:c r="I15" s="25" t="str">
        <x:v>按站点要求；上传后核对 files/预览</x:v>
      </x:c>
      <x:c r="J15" s="25" t="str">
        <x:v>Crunchbase; Free; DR 80; company profile and startup database.</x:v>
      </x:c>
      <x:c r="K15" s="25" t="str">
        <x:v>打开入口，先复核免费路线再填表</x:v>
      </x:c>
      <x:c r="L15" s="25" t="str">
        <x:v>https://www.crunchbase.com/</x:v>
      </x:c>
    </x:row>
    <x:row r="16" ht="44" customHeight="1">
      <x:c r="A16" s="28" t="n">
        <x:v>1</x:v>
      </x:c>
      <x:c r="B16" s="25" t="str">
        <x:v>AlternativeTo</x:v>
      </x:c>
      <x:c r="C16" s="25" t="str">
        <x:v>alternativeto.net</x:v>
      </x:c>
      <x:c r="D16" s="25" t="str">
        <x:v>来源标注免费（待复核）</x:v>
      </x:c>
      <x:c r="E16" s="25" t="str">
        <x:v>https://alternativeto.net/</x:v>
      </x:c>
      <x:c r="F16" s="25" t="str">
        <x:v>待提交</x:v>
      </x:c>
      <x:c r="G16" s="31" t="str"/>
      <x:c r="H16" s="25" t="str">
        <x:v>待验证</x:v>
      </x:c>
      <x:c r="I16" s="25" t="str">
        <x:v>按站点要求；上传后核对 files/预览</x:v>
      </x:c>
      <x:c r="J16" s="25" t="str">
        <x:v>AlternativeTo; Free; DR 80 / KD 65; software alternative directory.</x:v>
      </x:c>
      <x:c r="K16" s="25" t="str">
        <x:v>打开入口，先复核免费路线再填表</x:v>
      </x:c>
      <x:c r="L16" s="25" t="str">
        <x:v>https://alternativeto.net/</x:v>
      </x:c>
    </x:row>
    <x:row r="17" ht="44" customHeight="1">
      <x:c r="A17" s="28" t="n">
        <x:v>2</x:v>
      </x:c>
      <x:c r="B17" s="25" t="str">
        <x:v>SideProjectors</x:v>
      </x:c>
      <x:c r="C17" s="25" t="str">
        <x:v>sideprojectors.com</x:v>
      </x:c>
      <x:c r="D17" s="25" t="str">
        <x:v>来源标注免费（待复核）</x:v>
      </x:c>
      <x:c r="E17" s="25" t="str">
        <x:v>https://www.sideprojectors.com/submit</x:v>
      </x:c>
      <x:c r="F17" s="25" t="str">
        <x:v>待提交</x:v>
      </x:c>
      <x:c r="G17" s="31" t="str"/>
      <x:c r="H17" s="25" t="str">
        <x:v>待验证</x:v>
      </x:c>
      <x:c r="I17" s="25" t="str">
        <x:v>按站点要求；上传后核对 files/预览</x:v>
      </x:c>
      <x:c r="J17" s="25" t="str">
        <x:v>您的项目正在审核中，通常需要 2-3 个工作日才能获批。当您的项目获批时，我们将通过电子邮件通知您。</x:v>
      </x:c>
      <x:c r="K17" s="25" t="str">
        <x:v>打开入口，先复核免费路线再填表</x:v>
      </x:c>
      <x:c r="L17" s="25" t="str">
        <x:v>https://www.sideprojectors.com/submit</x:v>
      </x:c>
    </x:row>
    <x:row r="18" ht="44" customHeight="1">
      <x:c r="A18" s="28" t="n">
        <x:v>2</x:v>
      </x:c>
      <x:c r="B18" s="25" t="str">
        <x:v>moge.ai</x:v>
      </x:c>
      <x:c r="C18" s="25" t="str">
        <x:v>moge.ai</x:v>
      </x:c>
      <x:c r="D18" s="25" t="str">
        <x:v>来源标注免费（待复核）</x:v>
      </x:c>
      <x:c r="E18" s="25" t="str">
        <x:v>https://moge.ai/zh</x:v>
      </x:c>
      <x:c r="F18" s="25" t="str">
        <x:v>待提交</x:v>
      </x:c>
      <x:c r="G18" s="31" t="str"/>
      <x:c r="H18" s="25" t="str">
        <x:v>待验证</x:v>
      </x:c>
      <x:c r="I18" s="25" t="str">
        <x:v>按站点要求；上传后核对 files/预览</x:v>
      </x:c>
      <x:c r="J18" s="25" t="str">
        <x:v>已提交 不用填信息 只要网站即可 说48小时后去站内搜索验证</x:v>
      </x:c>
      <x:c r="K18" s="25" t="str">
        <x:v>打开入口，先复核免费路线再填表</x:v>
      </x:c>
      <x:c r="L18" s="25" t="str">
        <x:v>https://moge.ai/zh</x:v>
      </x:c>
    </x:row>
    <x:row r="19" ht="44" customHeight="1">
      <x:c r="A19" s="28" t="n">
        <x:v>2</x:v>
      </x:c>
      <x:c r="B19" s="25" t="str">
        <x:v>neeed.directory</x:v>
      </x:c>
      <x:c r="C19" s="25" t="str">
        <x:v>neeed.directory</x:v>
      </x:c>
      <x:c r="D19" s="25" t="str">
        <x:v>来源标注免费（待复核）</x:v>
      </x:c>
      <x:c r="E19" s="25" t="str">
        <x:v>https://neeed.directory/submit</x:v>
      </x:c>
      <x:c r="F19" s="25" t="str">
        <x:v>待提交</x:v>
      </x:c>
      <x:c r="G19" s="31" t="str"/>
      <x:c r="H19" s="25" t="str">
        <x:v>待验证</x:v>
      </x:c>
      <x:c r="I19" s="25" t="str">
        <x:v>按站点要求；上传后核对 files/预览</x:v>
      </x:c>
      <x:c r="J19" s="25" t="str">
        <x:v>交换badge验证通过已提交</x:v>
      </x:c>
      <x:c r="K19" s="25" t="str">
        <x:v>打开入口，先复核免费路线再填表</x:v>
      </x:c>
      <x:c r="L19" s="25" t="str">
        <x:v>https://neeed.directory/submit</x:v>
      </x:c>
    </x:row>
    <x:row r="20" ht="44" customHeight="1">
      <x:c r="A20" s="28" t="n">
        <x:v>2</x:v>
      </x:c>
      <x:c r="B20" s="25" t="str">
        <x:v>StackShare</x:v>
      </x:c>
      <x:c r="C20" s="25" t="str">
        <x:v>stackshare.io</x:v>
      </x:c>
      <x:c r="D20" s="25" t="str">
        <x:v>来源标注免费（待复核）</x:v>
      </x:c>
      <x:c r="E20" s="25" t="str">
        <x:v>https://stackshare.io/</x:v>
      </x:c>
      <x:c r="F20" s="25" t="str">
        <x:v>待提交</x:v>
      </x:c>
      <x:c r="G20" s="31" t="str"/>
      <x:c r="H20" s="25" t="str">
        <x:v>待验证</x:v>
      </x:c>
      <x:c r="I20" s="25" t="str">
        <x:v>按站点要求；上传后核对 files/预览</x:v>
      </x:c>
      <x:c r="J20" s="25" t="str">
        <x:v>StackShare; Free; DR 79; developer/software stack listing.</x:v>
      </x:c>
      <x:c r="K20" s="25" t="str">
        <x:v>打开入口，先复核免费路线再填表</x:v>
      </x:c>
      <x:c r="L20" s="25" t="str">
        <x:v>https://stackshare.io/</x:v>
      </x:c>
    </x:row>
    <x:row r="21" ht="44" customHeight="1">
      <x:c r="A21" s="28" t="n">
        <x:v>2</x:v>
      </x:c>
      <x:c r="B21" s="25" t="str">
        <x:v>EU-Startups</x:v>
      </x:c>
      <x:c r="C21" s="25" t="str">
        <x:v>eu-startups.com</x:v>
      </x:c>
      <x:c r="D21" s="25" t="str">
        <x:v>来源标注免费（待复核）</x:v>
      </x:c>
      <x:c r="E21" s="25" t="str">
        <x:v>https://www.eu-startups.com/</x:v>
      </x:c>
      <x:c r="F21" s="25" t="str">
        <x:v>待提交</x:v>
      </x:c>
      <x:c r="G21" s="31" t="str"/>
      <x:c r="H21" s="25" t="str">
        <x:v>待验证</x:v>
      </x:c>
      <x:c r="I21" s="25" t="str">
        <x:v>按站点要求；上传后核对 files/预览</x:v>
      </x:c>
      <x:c r="J21" s="25" t="str">
        <x:v>EU-Startups; Free; DR 76; startup directory.</x:v>
      </x:c>
      <x:c r="K21" s="25" t="str">
        <x:v>打开入口，先复核免费路线再填表</x:v>
      </x:c>
      <x:c r="L21" s="25" t="str">
        <x:v>https://www.eu-startups.com/</x:v>
      </x:c>
    </x:row>
    <x:row r="22" ht="44" customHeight="1">
      <x:c r="A22" s="28" t="n">
        <x:v>2</x:v>
      </x:c>
      <x:c r="B22" s="25" t="str">
        <x:v>Digital Agency Network</x:v>
      </x:c>
      <x:c r="C22" s="25" t="str">
        <x:v>digitalagencynetwork.com</x:v>
      </x:c>
      <x:c r="D22" s="25" t="str">
        <x:v>来源标注免费（待复核）</x:v>
      </x:c>
      <x:c r="E22" s="25" t="str">
        <x:v>https://digitalagencynetwork.com/</x:v>
      </x:c>
      <x:c r="F22" s="25" t="str">
        <x:v>待提交</x:v>
      </x:c>
      <x:c r="G22" s="31" t="str"/>
      <x:c r="H22" s="25" t="str">
        <x:v>待验证</x:v>
      </x:c>
      <x:c r="I22" s="25" t="str">
        <x:v>按站点要求；上传后核对 files/预览</x:v>
      </x:c>
      <x:c r="J22" s="25" t="str">
        <x:v>Digital Agency Network; Free; DR 76; tools listing for marketing/design/business audience.</x:v>
      </x:c>
      <x:c r="K22" s="25" t="str">
        <x:v>打开入口，先复核免费路线再填表</x:v>
      </x:c>
      <x:c r="L22" s="25" t="str">
        <x:v>https://digitalagencynetwork.com/</x:v>
      </x:c>
    </x:row>
    <x:row r="23" ht="44" customHeight="1">
      <x:c r="A23" s="28" t="n">
        <x:v>2</x:v>
      </x:c>
      <x:c r="B23" s="25" t="str">
        <x:v>SoftwareWorld</x:v>
      </x:c>
      <x:c r="C23" s="25" t="str">
        <x:v>softwareworld.co</x:v>
      </x:c>
      <x:c r="D23" s="25" t="str">
        <x:v>来源标注免费（待复核）</x:v>
      </x:c>
      <x:c r="E23" s="25" t="str">
        <x:v>https://www.softwareworld.co/</x:v>
      </x:c>
      <x:c r="F23" s="25" t="str">
        <x:v>待提交</x:v>
      </x:c>
      <x:c r="G23" s="31" t="str"/>
      <x:c r="H23" s="25" t="str">
        <x:v>待验证</x:v>
      </x:c>
      <x:c r="I23" s="25" t="str">
        <x:v>按站点要求；上传后核对 files/预览</x:v>
      </x:c>
      <x:c r="J23" s="25" t="str">
        <x:v>SoftwareWorld; Free; DR 75 / DA 74; software vendor listing.</x:v>
      </x:c>
      <x:c r="K23" s="25" t="str">
        <x:v>打开入口，先复核免费路线再填表</x:v>
      </x:c>
      <x:c r="L23" s="25" t="str">
        <x:v>https://www.softwareworld.co/</x:v>
      </x:c>
    </x:row>
    <x:row r="24" ht="44" customHeight="1">
      <x:c r="A24" s="28" t="n">
        <x:v>2</x:v>
      </x:c>
      <x:c r="B24" s="25" t="str">
        <x:v>BetaList</x:v>
      </x:c>
      <x:c r="C24" s="25" t="str">
        <x:v>betalist.com</x:v>
      </x:c>
      <x:c r="D24" s="25" t="str">
        <x:v>来源标注免费（待复核）</x:v>
      </x:c>
      <x:c r="E24" s="25" t="str">
        <x:v>https://betalist.com/</x:v>
      </x:c>
      <x:c r="F24" s="25" t="str">
        <x:v>待提交</x:v>
      </x:c>
      <x:c r="G24" s="31" t="str"/>
      <x:c r="H24" s="25" t="str">
        <x:v>待验证</x:v>
      </x:c>
      <x:c r="I24" s="25" t="str">
        <x:v>按站点要求；上传后核对 files/预览</x:v>
      </x:c>
      <x:c r="J24" s="25" t="str">
        <x:v>BetaList; Free; DA 73 / DR 70; startup/beta launch directory.</x:v>
      </x:c>
      <x:c r="K24" s="25" t="str">
        <x:v>打开入口，先复核免费路线再填表</x:v>
      </x:c>
      <x:c r="L24" s="25" t="str">
        <x:v>https://betalist.com/</x:v>
      </x:c>
    </x:row>
    <x:row r="25" ht="44" customHeight="1">
      <x:c r="A25" s="28" t="n">
        <x:v>2</x:v>
      </x:c>
      <x:c r="B25" s="25" t="str">
        <x:v>SaaSWorthy</x:v>
      </x:c>
      <x:c r="C25" s="25" t="str">
        <x:v>saasworthy.com</x:v>
      </x:c>
      <x:c r="D25" s="25" t="str">
        <x:v>来源标注免费（待复核）</x:v>
      </x:c>
      <x:c r="E25" s="25" t="str">
        <x:v>https://www.saasworthy.com/</x:v>
      </x:c>
      <x:c r="F25" s="25" t="str">
        <x:v>待提交</x:v>
      </x:c>
      <x:c r="G25" s="31" t="str"/>
      <x:c r="H25" s="25" t="str">
        <x:v>待验证</x:v>
      </x:c>
      <x:c r="I25" s="25" t="str">
        <x:v>按站点要求；上传后核对 files/预览</x:v>
      </x:c>
      <x:c r="J25" s="25" t="str">
        <x:v>SaaSWorthy; Free; DA 72 / DR 72; SaaS/product listing.</x:v>
      </x:c>
      <x:c r="K25" s="25" t="str">
        <x:v>打开入口，先复核免费路线再填表</x:v>
      </x:c>
      <x:c r="L25" s="25" t="str">
        <x:v>https://www.saasworthy.com/</x:v>
      </x:c>
    </x:row>
    <x:row r="26" ht="44" customHeight="1">
      <x:c r="A26" s="28" t="n">
        <x:v>2</x:v>
      </x:c>
      <x:c r="B26" s="25" t="str">
        <x:v>GetLatka</x:v>
      </x:c>
      <x:c r="C26" s="25" t="str">
        <x:v>getlatka.com</x:v>
      </x:c>
      <x:c r="D26" s="25" t="str">
        <x:v>来源标注免费（待复核）</x:v>
      </x:c>
      <x:c r="E26" s="25" t="str">
        <x:v>https://getlatka.com/</x:v>
      </x:c>
      <x:c r="F26" s="25" t="str">
        <x:v>待提交</x:v>
      </x:c>
      <x:c r="G26" s="31" t="str"/>
      <x:c r="H26" s="25" t="str">
        <x:v>待验证</x:v>
      </x:c>
      <x:c r="I26" s="25" t="str">
        <x:v>按站点要求；上传后核对 files/预览</x:v>
      </x:c>
      <x:c r="J26" s="25" t="str">
        <x:v>GetLatka; Free; DR 71; SaaS company database.</x:v>
      </x:c>
      <x:c r="K26" s="25" t="str">
        <x:v>打开入口，先复核免费路线再填表</x:v>
      </x:c>
      <x:c r="L26" s="25" t="str">
        <x:v>https://getlatka.com/</x:v>
      </x:c>
    </x:row>
    <x:row r="27" ht="44" customHeight="1">
      <x:c r="A27" s="28" t="n">
        <x:v>2</x:v>
      </x:c>
      <x:c r="B27" s="25" t="str">
        <x:v>Futurepedia</x:v>
      </x:c>
      <x:c r="C27" s="25" t="str">
        <x:v>futurepedia.io</x:v>
      </x:c>
      <x:c r="D27" s="25" t="str">
        <x:v>来源标注免费（待复核）</x:v>
      </x:c>
      <x:c r="E27" s="25" t="str">
        <x:v>https://www.futurepedia.io/</x:v>
      </x:c>
      <x:c r="F27" s="25" t="str">
        <x:v>待提交</x:v>
      </x:c>
      <x:c r="G27" s="31" t="str"/>
      <x:c r="H27" s="25" t="str">
        <x:v>待验证</x:v>
      </x:c>
      <x:c r="I27" s="25" t="str">
        <x:v>按站点要求；上传后核对 files/预览</x:v>
      </x:c>
      <x:c r="J27" s="25" t="str">
        <x:v>Futurepedia; Free/basic in source list; DA 70; AI tools directory.</x:v>
      </x:c>
      <x:c r="K27" s="25" t="str">
        <x:v>打开入口，先复核免费路线再填表</x:v>
      </x:c>
      <x:c r="L27" s="25" t="str">
        <x:v>https://www.futurepedia.io/</x:v>
      </x:c>
    </x:row>
    <x:row r="28" ht="44" customHeight="1">
      <x:c r="A28" s="28" t="n">
        <x:v>2</x:v>
      </x:c>
      <x:c r="B28" s="25" t="str">
        <x:v>SiteLike</x:v>
      </x:c>
      <x:c r="C28" s="25" t="str">
        <x:v>sitelike.org</x:v>
      </x:c>
      <x:c r="D28" s="25" t="str">
        <x:v>来源标注免费（待复核）</x:v>
      </x:c>
      <x:c r="E28" s="25" t="str">
        <x:v>https://www.sitelike.org/</x:v>
      </x:c>
      <x:c r="F28" s="25" t="str">
        <x:v>待提交</x:v>
      </x:c>
      <x:c r="G28" s="31" t="str"/>
      <x:c r="H28" s="25" t="str">
        <x:v>待验证</x:v>
      </x:c>
      <x:c r="I28" s="25" t="str">
        <x:v>按站点要求；上传后核对 files/预览</x:v>
      </x:c>
      <x:c r="J28" s="25" t="str">
        <x:v>SiteLike; Free; DA/DR 70; general website listing.</x:v>
      </x:c>
      <x:c r="K28" s="25" t="str">
        <x:v>打开入口，先复核免费路线再填表</x:v>
      </x:c>
      <x:c r="L28" s="25" t="str">
        <x:v>https://www.sitelike.org/</x:v>
      </x:c>
    </x:row>
    <x:row r="29" ht="44" customHeight="1">
      <x:c r="A29" s="28" t="n">
        <x:v>2</x:v>
      </x:c>
      <x:c r="B29" s="25" t="str">
        <x:v>SaaSHub</x:v>
      </x:c>
      <x:c r="C29" s="25" t="str">
        <x:v>saashub.com</x:v>
      </x:c>
      <x:c r="D29" s="25" t="str">
        <x:v>来源标注免费（待复核）</x:v>
      </x:c>
      <x:c r="E29" s="25" t="str">
        <x:v>https://www.saashub.com/</x:v>
      </x:c>
      <x:c r="F29" s="25" t="str">
        <x:v>待提交</x:v>
      </x:c>
      <x:c r="G29" s="31" t="str"/>
      <x:c r="H29" s="25" t="str">
        <x:v>待验证</x:v>
      </x:c>
      <x:c r="I29" s="25" t="str">
        <x:v>按站点要求；上传后核对 files/预览</x:v>
      </x:c>
      <x:c r="J29" s="25" t="str">
        <x:v>SaaSHub; Free; DA 71 / DR 68; SaaS/software alternatives directory.</x:v>
      </x:c>
      <x:c r="K29" s="25" t="str">
        <x:v>打开入口，先复核免费路线再填表</x:v>
      </x:c>
      <x:c r="L29" s="25" t="str">
        <x:v>https://www.saashub.com/</x:v>
      </x:c>
    </x:row>
    <x:row r="30" ht="44" customHeight="1">
      <x:c r="A30" s="28" t="n">
        <x:v>2</x:v>
      </x:c>
      <x:c r="B30" s="25" t="str">
        <x:v>StartupStash</x:v>
      </x:c>
      <x:c r="C30" s="25" t="str">
        <x:v>startupstash.com</x:v>
      </x:c>
      <x:c r="D30" s="25" t="str">
        <x:v>来源标注免费（待复核）</x:v>
      </x:c>
      <x:c r="E30" s="25" t="str">
        <x:v>https://startupstash.com/</x:v>
      </x:c>
      <x:c r="F30" s="25" t="str">
        <x:v>待提交</x:v>
      </x:c>
      <x:c r="G30" s="31" t="str"/>
      <x:c r="H30" s="25" t="str">
        <x:v>待验证</x:v>
      </x:c>
      <x:c r="I30" s="25" t="str">
        <x:v>按站点要求；上传后核对 files/预览</x:v>
      </x:c>
      <x:c r="J30" s="25" t="str">
        <x:v>StartupStash; Free; DA 67; startup tools/resources directory.</x:v>
      </x:c>
      <x:c r="K30" s="25" t="str">
        <x:v>打开入口，先复核免费路线再填表</x:v>
      </x:c>
      <x:c r="L30" s="25" t="str">
        <x:v>https://startupstash.com/</x:v>
      </x:c>
    </x:row>
    <x:row r="31" ht="44" customHeight="1">
      <x:c r="A31" s="28" t="n">
        <x:v>2</x:v>
      </x:c>
      <x:c r="B31" s="25" t="str">
        <x:v>Startup Ranking</x:v>
      </x:c>
      <x:c r="C31" s="25" t="str">
        <x:v>startupranking.com</x:v>
      </x:c>
      <x:c r="D31" s="25" t="str">
        <x:v>来源标注免费（待复核）</x:v>
      </x:c>
      <x:c r="E31" s="25" t="str">
        <x:v>https://www.startupranking.com/</x:v>
      </x:c>
      <x:c r="F31" s="25" t="str">
        <x:v>待提交</x:v>
      </x:c>
      <x:c r="G31" s="31" t="str"/>
      <x:c r="H31" s="25" t="str">
        <x:v>待验证</x:v>
      </x:c>
      <x:c r="I31" s="25" t="str">
        <x:v>按站点要求；上传后核对 files/预览</x:v>
      </x:c>
      <x:c r="J31" s="25" t="str">
        <x:v>Startup Ranking; Free; DR 67; startup ranking/profile site.</x:v>
      </x:c>
      <x:c r="K31" s="25" t="str">
        <x:v>打开入口，先复核免费路线再填表</x:v>
      </x:c>
      <x:c r="L31" s="25" t="str">
        <x:v>https://www.startupranking.com/</x:v>
      </x:c>
    </x:row>
    <x:row r="32" ht="44" customHeight="1">
      <x:c r="A32" s="28" t="n">
        <x:v>2</x:v>
      </x:c>
      <x:c r="B32" s="25" t="str">
        <x:v>GrabOn</x:v>
      </x:c>
      <x:c r="C32" s="25" t="str">
        <x:v>grabon.in</x:v>
      </x:c>
      <x:c r="D32" s="25" t="str">
        <x:v>来源标注免费（待复核）</x:v>
      </x:c>
      <x:c r="E32" s="25" t="str">
        <x:v>https://www.grabon.in/</x:v>
      </x:c>
      <x:c r="F32" s="25" t="str">
        <x:v>待提交</x:v>
      </x:c>
      <x:c r="G32" s="31" t="str"/>
      <x:c r="H32" s="25" t="str">
        <x:v>待验证</x:v>
      </x:c>
      <x:c r="I32" s="25" t="str">
        <x:v>按站点要求；上传后核对 files/预览</x:v>
      </x:c>
      <x:c r="J32" s="25" t="str">
        <x:v>GrabOn; Free; DA 67; general startup/product submission in source list.</x:v>
      </x:c>
      <x:c r="K32" s="25" t="str">
        <x:v>打开入口，先复核免费路线再填表</x:v>
      </x:c>
      <x:c r="L32" s="25" t="str">
        <x:v>https://www.grabon.in/</x:v>
      </x:c>
    </x:row>
    <x:row r="33" ht="44" customHeight="1">
      <x:c r="A33" s="28" t="n">
        <x:v>2</x:v>
      </x:c>
      <x:c r="B33" s="25" t="str">
        <x:v>SoMuch</x:v>
      </x:c>
      <x:c r="C33" s="25" t="str">
        <x:v>somuch.com</x:v>
      </x:c>
      <x:c r="D33" s="25" t="str">
        <x:v>来源标注免费（待复核）</x:v>
      </x:c>
      <x:c r="E33" s="25" t="str">
        <x:v>https://somuch.com/</x:v>
      </x:c>
      <x:c r="F33" s="25" t="str">
        <x:v>待提交</x:v>
      </x:c>
      <x:c r="G33" s="31" t="str"/>
      <x:c r="H33" s="25" t="str">
        <x:v>待验证</x:v>
      </x:c>
      <x:c r="I33" s="25" t="str">
        <x:v>按站点要求；上传后核对 files/预览</x:v>
      </x:c>
      <x:c r="J33" s="25" t="str">
        <x:v>SoMuch; Free; DR 64; general web directory.</x:v>
      </x:c>
      <x:c r="K33" s="25" t="str">
        <x:v>打开入口，先复核免费路线再填表</x:v>
      </x:c>
      <x:c r="L33" s="25" t="str">
        <x:v>https://somuch.com/</x:v>
      </x:c>
    </x:row>
    <x:row r="34" ht="44" customHeight="1">
      <x:c r="A34" s="28" t="n">
        <x:v>2</x:v>
      </x:c>
      <x:c r="B34" s="25" t="str">
        <x:v>PitchWall</x:v>
      </x:c>
      <x:c r="C34" s="25" t="str">
        <x:v>pitchwall.co</x:v>
      </x:c>
      <x:c r="D34" s="25" t="str">
        <x:v>来源标注免费（待复核）</x:v>
      </x:c>
      <x:c r="E34" s="25" t="str">
        <x:v>https://pitchwall.co/</x:v>
      </x:c>
      <x:c r="F34" s="25" t="str">
        <x:v>待提交</x:v>
      </x:c>
      <x:c r="G34" s="31" t="str"/>
      <x:c r="H34" s="25" t="str">
        <x:v>待验证</x:v>
      </x:c>
      <x:c r="I34" s="25" t="str">
        <x:v>按站点要求；上传后核对 files/预览</x:v>
      </x:c>
      <x:c r="J34" s="25" t="str">
        <x:v>PitchWall; Free; DR 64; product/startup launch listing.</x:v>
      </x:c>
      <x:c r="K34" s="25" t="str">
        <x:v>打开入口，先复核免费路线再填表</x:v>
      </x:c>
      <x:c r="L34" s="25" t="str">
        <x:v>https://pitchwall.co/</x:v>
      </x:c>
    </x:row>
    <x:row r="35" ht="44" customHeight="1">
      <x:c r="A35" s="28" t="n">
        <x:v>2</x:v>
      </x:c>
      <x:c r="B35" s="25" t="str">
        <x:v>American Inno</x:v>
      </x:c>
      <x:c r="C35" s="25" t="str">
        <x:v>americaninno.com</x:v>
      </x:c>
      <x:c r="D35" s="25" t="str">
        <x:v>来源标注免费（待复核）</x:v>
      </x:c>
      <x:c r="E35" s="25" t="str">
        <x:v>https://americaninno.com/</x:v>
      </x:c>
      <x:c r="F35" s="25" t="str">
        <x:v>待提交</x:v>
      </x:c>
      <x:c r="G35" s="31" t="str"/>
      <x:c r="H35" s="25" t="str">
        <x:v>待验证</x:v>
      </x:c>
      <x:c r="I35" s="25" t="str">
        <x:v>按站点要求；上传后核对 files/预览</x:v>
      </x:c>
      <x:c r="J35" s="25" t="str">
        <x:v>American Inno; Free/media; KD 63; startup/media submission.</x:v>
      </x:c>
      <x:c r="K35" s="25" t="str">
        <x:v>打开入口，先复核免费路线再填表</x:v>
      </x:c>
      <x:c r="L35" s="25" t="str">
        <x:v>https://americaninno.com/</x:v>
      </x:c>
    </x:row>
    <x:row r="36" ht="44" customHeight="1">
      <x:c r="A36" s="28" t="n">
        <x:v>2</x:v>
      </x:c>
      <x:c r="B36" s="25" t="str">
        <x:v>GrowthHackers</x:v>
      </x:c>
      <x:c r="C36" s="25" t="str">
        <x:v>growthhackers.com</x:v>
      </x:c>
      <x:c r="D36" s="25" t="str">
        <x:v>来源标注免费（待复核）</x:v>
      </x:c>
      <x:c r="E36" s="25" t="str">
        <x:v>https://growthhackers.com/</x:v>
      </x:c>
      <x:c r="F36" s="25" t="str">
        <x:v>待提交</x:v>
      </x:c>
      <x:c r="G36" s="31" t="str"/>
      <x:c r="H36" s="25" t="str">
        <x:v>社区账号</x:v>
      </x:c>
      <x:c r="I36" s="25" t="str">
        <x:v>按站点要求；上传后核对 files/预览</x:v>
      </x:c>
      <x:c r="J36" s="25" t="str">
        <x:v>GrowthHackers; Community; DA 60; marketing/community launch discussion.</x:v>
      </x:c>
      <x:c r="K36" s="25" t="str">
        <x:v>打开入口，先复核免费路线再填表</x:v>
      </x:c>
      <x:c r="L36" s="25" t="str">
        <x:v>https://growthhackers.com/</x:v>
      </x:c>
    </x:row>
    <x:row r="37" ht="44" customHeight="1">
      <x:c r="A37" s="28" t="n">
        <x:v>2</x:v>
      </x:c>
      <x:c r="B37" s="25" t="str">
        <x:v>GPTsHunter</x:v>
      </x:c>
      <x:c r="C37" s="25" t="str">
        <x:v>gptshunter.com</x:v>
      </x:c>
      <x:c r="D37" s="25" t="str">
        <x:v>来源标注免费（待复核）</x:v>
      </x:c>
      <x:c r="E37" s="25" t="str">
        <x:v>https://www.gptshunter.com/</x:v>
      </x:c>
      <x:c r="F37" s="25" t="str">
        <x:v>待提交</x:v>
      </x:c>
      <x:c r="G37" s="31" t="str"/>
      <x:c r="H37" s="25" t="str">
        <x:v>待验证</x:v>
      </x:c>
      <x:c r="I37" s="25" t="str">
        <x:v>按站点要求；上传后核对 files/预览</x:v>
      </x:c>
      <x:c r="J37" s="25" t="str">
        <x:v>GPTsHunter; Free; DR 59 / DA 60; GPT/AI directory.</x:v>
      </x:c>
      <x:c r="K37" s="25" t="str">
        <x:v>打开入口，先复核免费路线再填表</x:v>
      </x:c>
      <x:c r="L37" s="25" t="str">
        <x:v>https://www.gptshunter.com/</x:v>
      </x:c>
    </x:row>
    <x:row r="38" ht="44" customHeight="1">
      <x:c r="A38" s="28" t="n">
        <x:v>2</x:v>
      </x:c>
      <x:c r="B38" s="25" t="str">
        <x:v>KitPloit</x:v>
      </x:c>
      <x:c r="C38" s="25" t="str">
        <x:v>kitploit.com</x:v>
      </x:c>
      <x:c r="D38" s="25" t="str">
        <x:v>来源标注免费（待复核）</x:v>
      </x:c>
      <x:c r="E38" s="25" t="str">
        <x:v>https://www.kitploit.com/</x:v>
      </x:c>
      <x:c r="F38" s="25" t="str">
        <x:v>待提交</x:v>
      </x:c>
      <x:c r="G38" s="31" t="str"/>
      <x:c r="H38" s="25" t="str">
        <x:v>待验证</x:v>
      </x:c>
      <x:c r="I38" s="25" t="str">
        <x:v>按站点要求；上传后核对 files/预览</x:v>
      </x:c>
      <x:c r="J38" s="25" t="str">
        <x:v>KitPloit; Free; DR 57; developer/security/tool audience, use only if relevant.</x:v>
      </x:c>
      <x:c r="K38" s="25" t="str">
        <x:v>打开入口，先复核免费路线再填表</x:v>
      </x:c>
      <x:c r="L38" s="25" t="str">
        <x:v>https://www.kitploit.com/</x:v>
      </x:c>
    </x:row>
    <x:row r="39" ht="44" customHeight="1">
      <x:c r="A39" s="28" t="n">
        <x:v>2</x:v>
      </x:c>
      <x:c r="B39" s="25" t="str">
        <x:v>Afford Hunt</x:v>
      </x:c>
      <x:c r="C39" s="25" t="str">
        <x:v>affordhunt.com</x:v>
      </x:c>
      <x:c r="D39" s="25" t="str">
        <x:v>来源标注免费（待复核）</x:v>
      </x:c>
      <x:c r="E39" s="25" t="str">
        <x:v>https://www.affordhunt.com/</x:v>
      </x:c>
      <x:c r="F39" s="25" t="str">
        <x:v>待提交</x:v>
      </x:c>
      <x:c r="G39" s="31" t="str"/>
      <x:c r="H39" s="25" t="str">
        <x:v>待验证</x:v>
      </x:c>
      <x:c r="I39" s="25" t="str">
        <x:v>按站点要求；上传后核对 files/预览</x:v>
      </x:c>
      <x:c r="J39" s="25" t="str">
        <x:v>Afford Hunt; Free; DR 56; deals/tools directory.</x:v>
      </x:c>
      <x:c r="K39" s="25" t="str">
        <x:v>打开入口，先复核免费路线再填表</x:v>
      </x:c>
      <x:c r="L39" s="25" t="str">
        <x:v>https://www.affordhunt.com/</x:v>
      </x:c>
    </x:row>
    <x:row r="40" ht="44" customHeight="1">
      <x:c r="A40" s="28" t="n">
        <x:v>2</x:v>
      </x:c>
      <x:c r="B40" s="25" t="str">
        <x:v>Business Software</x:v>
      </x:c>
      <x:c r="C40" s="25" t="str">
        <x:v>business-software.com</x:v>
      </x:c>
      <x:c r="D40" s="25" t="str">
        <x:v>来源标注免费（待复核）</x:v>
      </x:c>
      <x:c r="E40" s="25" t="str">
        <x:v>https://www.business-software.com/</x:v>
      </x:c>
      <x:c r="F40" s="25" t="str">
        <x:v>待提交</x:v>
      </x:c>
      <x:c r="G40" s="31" t="str"/>
      <x:c r="H40" s="25" t="str">
        <x:v>待验证</x:v>
      </x:c>
      <x:c r="I40" s="25" t="str">
        <x:v>按站点要求；上传后核对 files/预览</x:v>
      </x:c>
      <x:c r="J40" s="25" t="str">
        <x:v>Business Software; Free; DR 55; software directory.</x:v>
      </x:c>
      <x:c r="K40" s="25" t="str">
        <x:v>打开入口，先复核免费路线再填表</x:v>
      </x:c>
      <x:c r="L40" s="25" t="str">
        <x:v>https://www.business-software.com/</x:v>
      </x:c>
    </x:row>
    <x:row r="41" ht="44" customHeight="1">
      <x:c r="A41" s="28" t="n">
        <x:v>2</x:v>
      </x:c>
      <x:c r="B41" s="25" t="str">
        <x:v>The Rundown Supertools</x:v>
      </x:c>
      <x:c r="C41" s="25" t="str">
        <x:v>supertools.therundown.ai</x:v>
      </x:c>
      <x:c r="D41" s="25" t="str">
        <x:v>来源标注免费（待复核）</x:v>
      </x:c>
      <x:c r="E41" s="25" t="str">
        <x:v>https://supertools.therundown.ai/</x:v>
      </x:c>
      <x:c r="F41" s="25" t="str">
        <x:v>待提交</x:v>
      </x:c>
      <x:c r="G41" s="31" t="str"/>
      <x:c r="H41" s="25" t="str">
        <x:v>待验证</x:v>
      </x:c>
      <x:c r="I41" s="25" t="str">
        <x:v>按站点要求；上传后核对 files/预览</x:v>
      </x:c>
      <x:c r="J41" s="25" t="str">
        <x:v>The Rundown Supertools; Free; DA 53; AI tools directory.</x:v>
      </x:c>
      <x:c r="K41" s="25" t="str">
        <x:v>打开入口，先复核免费路线再填表</x:v>
      </x:c>
      <x:c r="L41" s="25" t="str">
        <x:v>https://supertools.therundown.ai/</x:v>
      </x:c>
    </x:row>
    <x:row r="42" ht="44" customHeight="1">
      <x:c r="A42" s="28" t="n">
        <x:v>2</x:v>
      </x:c>
      <x:c r="B42" s="25" t="str">
        <x:v>GeekWire</x:v>
      </x:c>
      <x:c r="C42" s="25" t="str">
        <x:v>geekwire.com</x:v>
      </x:c>
      <x:c r="D42" s="25" t="str">
        <x:v>来源标注免费（待复核）</x:v>
      </x:c>
      <x:c r="E42" s="25" t="str">
        <x:v>https://www.geekwire.com/</x:v>
      </x:c>
      <x:c r="F42" s="25" t="str">
        <x:v>待提交</x:v>
      </x:c>
      <x:c r="G42" s="31" t="str"/>
      <x:c r="H42" s="25" t="str">
        <x:v>待验证</x:v>
      </x:c>
      <x:c r="I42" s="25" t="str">
        <x:v>按站点要求；上传后核对 files/预览</x:v>
      </x:c>
      <x:c r="J42" s="25" t="str">
        <x:v>GeekWire; Free/media; KD 50; startup media submission.</x:v>
      </x:c>
      <x:c r="K42" s="25" t="str">
        <x:v>打开入口，先复核免费路线再填表</x:v>
      </x:c>
      <x:c r="L42" s="25" t="str">
        <x:v>https://www.geekwire.com/</x:v>
      </x:c>
    </x:row>
    <x:row r="43" ht="44" customHeight="1">
      <x:c r="A43" s="28" t="n">
        <x:v>2</x:v>
      </x:c>
      <x:c r="B43" s="25" t="str">
        <x:v>Starter Story</x:v>
      </x:c>
      <x:c r="C43" s="25" t="str">
        <x:v>starterstory.com</x:v>
      </x:c>
      <x:c r="D43" s="25" t="str">
        <x:v>来源标注免费（待复核）</x:v>
      </x:c>
      <x:c r="E43" s="25" t="str">
        <x:v>https://www.starterstory.com/</x:v>
      </x:c>
      <x:c r="F43" s="25" t="str">
        <x:v>待提交</x:v>
      </x:c>
      <x:c r="G43" s="31" t="str"/>
      <x:c r="H43" s="25" t="str">
        <x:v>待验证</x:v>
      </x:c>
      <x:c r="I43" s="25" t="str">
        <x:v>按站点要求；上传后核对 files/预览</x:v>
      </x:c>
      <x:c r="J43" s="25" t="str">
        <x:v>Starter Story; Free/media; KD 50; founder/startup story submission.</x:v>
      </x:c>
      <x:c r="K43" s="25" t="str">
        <x:v>打开入口，先复核免费路线再填表</x:v>
      </x:c>
      <x:c r="L43" s="25" t="str">
        <x:v>https://www.starterstory.com/</x:v>
      </x:c>
    </x:row>
    <x:row r="44" ht="44" customHeight="1">
      <x:c r="A44" s="28" t="n">
        <x:v>3</x:v>
      </x:c>
      <x:c r="B44" s="25" t="str">
        <x:v>AI神器</x:v>
      </x:c>
      <x:c r="C44" s="25" t="str">
        <x:v>aishenqi.net</x:v>
      </x:c>
      <x:c r="D44" s="25" t="str">
        <x:v>免费但需人工</x:v>
      </x:c>
      <x:c r="E44" s="25" t="str">
        <x:v>https://aishenqi.net/submit-aitool</x:v>
      </x:c>
      <x:c r="F44" s="25" t="str">
        <x:v>待人工</x:v>
      </x:c>
      <x:c r="G44" s="31" t="str"/>
      <x:c r="H44" s="25" t="str">
        <x:v>安全检查</x:v>
      </x:c>
      <x:c r="I44" s="25" t="str">
        <x:v>按站点要求；上传后核对 files/预览</x:v>
      </x:c>
      <x:c r="J44" s="25" t="str">
        <x:v>未通过安全检查</x:v>
      </x:c>
      <x:c r="K44" s="25" t="str">
        <x:v>人工处理</x:v>
      </x:c>
      <x:c r="L44" s="25" t="str">
        <x:v>https://aishenqi.net/submit-aitool</x:v>
      </x:c>
    </x:row>
    <x:row r="45" ht="44" customHeight="1">
      <x:c r="A45" s="28" t="n">
        <x:v>3</x:v>
      </x:c>
      <x:c r="B45" s="25" t="str">
        <x:v>Alternative.me</x:v>
      </x:c>
      <x:c r="C45" s="25" t="str">
        <x:v>alternative.me</x:v>
      </x:c>
      <x:c r="D45" s="25" t="str">
        <x:v>免费但需人工</x:v>
      </x:c>
      <x:c r="E45" s="25" t="str">
        <x:v>https://alternative.me/how-to/submit-software/</x:v>
      </x:c>
      <x:c r="F45" s="25" t="str">
        <x:v>待人工</x:v>
      </x:c>
      <x:c r="G45" s="31" t="str"/>
      <x:c r="H45" s="25" t="str">
        <x:v>登录</x:v>
      </x:c>
      <x:c r="I45" s="25" t="str">
        <x:v>按站点要求；上传后核对 files/预览</x:v>
      </x:c>
      <x:c r="J45" s="25" t="str">
        <x:v>账号密码必填</x:v>
      </x:c>
      <x:c r="K45" s="25" t="str">
        <x:v>人工完成账号交接</x:v>
      </x:c>
      <x:c r="L45" s="25" t="str">
        <x:v>https://alternative.me/</x:v>
      </x:c>
    </x:row>
    <x:row r="46" ht="44" customHeight="1">
      <x:c r="A46" s="28" t="n">
        <x:v>3</x:v>
      </x:c>
      <x:c r="B46" s="25" t="str">
        <x:v>Webwiki</x:v>
      </x:c>
      <x:c r="C46" s="25" t="str">
        <x:v>webwiki.com</x:v>
      </x:c>
      <x:c r="D46" s="25" t="str">
        <x:v>免费但需人工</x:v>
      </x:c>
      <x:c r="E46" s="25" t="str">
        <x:v>https://www.webwiki.com/</x:v>
      </x:c>
      <x:c r="F46" s="25" t="str">
        <x:v>待人工</x:v>
      </x:c>
      <x:c r="G46" s="31" t="str"/>
      <x:c r="H46" s="25" t="str">
        <x:v>验证码</x:v>
      </x:c>
      <x:c r="I46" s="25" t="str">
        <x:v>按站点要求；上传后核对 files/预览</x:v>
      </x:c>
      <x:c r="J46" s="25" t="str">
        <x:v>Cloudflare 安全验证</x:v>
      </x:c>
      <x:c r="K46" s="25" t="str">
        <x:v>人工验证后恢复</x:v>
      </x:c>
      <x:c r="L46" s="25" t="str">
        <x:v>https://www.webwiki.com/</x:v>
      </x:c>
    </x:row>
    <x:row r="47" ht="44" customHeight="1">
      <x:c r="A47" s="28" t="n">
        <x:v>3</x:v>
      </x:c>
      <x:c r="B47" s="25" t="str">
        <x:v>Submission Web Directory</x:v>
      </x:c>
      <x:c r="C47" s="25" t="str">
        <x:v>submissionwebdirectory.com</x:v>
      </x:c>
      <x:c r="D47" s="25" t="str">
        <x:v>免费但需人工</x:v>
      </x:c>
      <x:c r="E47" s="25" t="str">
        <x:v>https://www.submissionwebdirectory.com/</x:v>
      </x:c>
      <x:c r="F47" s="25" t="str">
        <x:v>待人工</x:v>
      </x:c>
      <x:c r="G47" s="31" t="str"/>
      <x:c r="H47" s="25" t="str">
        <x:v>验证码</x:v>
      </x:c>
      <x:c r="I47" s="25" t="str">
        <x:v>按站点要求；上传后核对 files/预览</x:v>
      </x:c>
      <x:c r="J47" s="25" t="str">
        <x:v>图形安全码</x:v>
      </x:c>
      <x:c r="K47" s="25" t="str">
        <x:v>人工输入安全码</x:v>
      </x:c>
      <x:c r="L47" s="25" t="str">
        <x:v>https://www.submissionwebdirectory.com/</x:v>
      </x:c>
    </x:row>
    <x:row r="48" ht="44" customHeight="1">
      <x:c r="A48" s="28" t="n">
        <x:v>3</x:v>
      </x:c>
      <x:c r="B48" s="25" t="str">
        <x:v>SaaSAITools</x:v>
      </x:c>
      <x:c r="C48" s="25" t="str">
        <x:v>saasaitools.com</x:v>
      </x:c>
      <x:c r="D48" s="25" t="str">
        <x:v>免费但需人工</x:v>
      </x:c>
      <x:c r="E48" s="25" t="str">
        <x:v>https://saasaitools.com/join/</x:v>
      </x:c>
      <x:c r="F48" s="25" t="str">
        <x:v>待人工</x:v>
      </x:c>
      <x:c r="G48" s="31" t="str"/>
      <x:c r="H48" s="25" t="str">
        <x:v>登录</x:v>
      </x:c>
      <x:c r="I48" s="25" t="str">
        <x:v>按站点要求；上传后核对 files/预览</x:v>
      </x:c>
      <x:c r="J48" s="25" t="str">
        <x:v>需要注册登录</x:v>
      </x:c>
      <x:c r="K48" s="25" t="str">
        <x:v>人工完成注册</x:v>
      </x:c>
      <x:c r="L48" s="25" t="str">
        <x:v>https://saasaitools.com/</x:v>
      </x:c>
    </x:row>
    <x:row r="49" ht="44" customHeight="1">
      <x:c r="A49" s="28" t="n">
        <x:v>3</x:v>
      </x:c>
      <x:c r="B49" s="25" t="str">
        <x:v>FiveTaco</x:v>
      </x:c>
      <x:c r="C49" s="25" t="str">
        <x:v>fivetaco.com</x:v>
      </x:c>
      <x:c r="D49" s="25" t="str">
        <x:v>免费/待复核</x:v>
      </x:c>
      <x:c r="E49" s="25" t="str">
        <x:v>https://fivetaco.com/submit</x:v>
      </x:c>
      <x:c r="F49" s="25" t="str">
        <x:v>未确认</x:v>
      </x:c>
      <x:c r="G49" s="31" t="str"/>
      <x:c r="H49" s="25" t="str">
        <x:v>无</x:v>
      </x:c>
      <x:c r="I49" s="25" t="str">
        <x:v>按站点要求；上传后核对 files/预览</x:v>
      </x:c>
      <x:c r="J49" s="25" t="str">
        <x:v>已填但无成功回执</x:v>
      </x:c>
      <x:c r="K49" s="25" t="str">
        <x:v>先查账户、邮件或站内搜索</x:v>
      </x:c>
      <x:c r="L49" s="25" t="str">
        <x:v>https://fivetaco.com/</x:v>
      </x:c>
    </x:row>
    <x:row r="50" ht="44" customHeight="1">
      <x:c r="A50" s="28" t="n">
        <x:v>9</x:v>
      </x:c>
      <x:c r="B50" s="25" t="str">
        <x:v>TheJOAI</x:v>
      </x:c>
      <x:c r="C50" s="25" t="str">
        <x:v>thejoai.com</x:v>
      </x:c>
      <x:c r="D50" s="25" t="str">
        <x:v>已确认免费</x:v>
      </x:c>
      <x:c r="E50" s="25" t="str">
        <x:v>https://thejoai.com/aitools/submissions/</x:v>
      </x:c>
      <x:c r="F50" s="25" t="str">
        <x:v>已提交/待审核</x:v>
      </x:c>
      <x:c r="G50" s="31" t="str">
        <x:v>2026-08-02</x:v>
      </x:c>
      <x:c r="H50" s="25" t="str">
        <x:v>待验证</x:v>
      </x:c>
      <x:c r="I50" s="25" t="str">
        <x:v>按站点要求；上传后核对 files/预览</x:v>
      </x:c>
      <x:c r="J50" s="25" t="str">
        <x:v>Excellent submission；账户 Submitted for Review</x:v>
      </x:c>
      <x:c r="K50" s="25" t="str">
        <x:v>跳过，不重复提交</x:v>
      </x:c>
      <x:c r="L50" s="25" t="str">
        <x:v>https://thejoai.com/aitools/submissions/</x:v>
      </x:c>
    </x:row>
    <x:row r="51" ht="44" customHeight="1">
      <x:c r="A51" s="28" t="n">
        <x:v>9</x:v>
      </x:c>
      <x:c r="B51" s="25" t="str">
        <x:v>FutureTools</x:v>
      </x:c>
      <x:c r="C51" s="25" t="str">
        <x:v>futuretools.io</x:v>
      </x:c>
      <x:c r="D51" s="25" t="str">
        <x:v>已确认免费</x:v>
      </x:c>
      <x:c r="E51" s="25" t="str">
        <x:v>https://www.futuretools.io/submit-a-tool</x:v>
      </x:c>
      <x:c r="F51" s="25" t="str">
        <x:v>已提交/待审核</x:v>
      </x:c>
      <x:c r="G51" s="31" t="str">
        <x:v>2026-08-02</x:v>
      </x:c>
      <x:c r="H51" s="25" t="str">
        <x:v>待验证</x:v>
      </x:c>
      <x:c r="I51" s="25" t="str">
        <x:v>按站点要求；上传后核对 files/预览</x:v>
      </x:c>
      <x:c r="J51" s="25" t="str">
        <x:v>用户人工确认完成</x:v>
      </x:c>
      <x:c r="K51" s="25" t="str">
        <x:v>跳过，不重复提交</x:v>
      </x:c>
      <x:c r="L51" s="25" t="str">
        <x:v>https://www.futuretools.io/</x:v>
      </x:c>
    </x:row>
    <x:row r="52" ht="44" customHeight="1">
      <x:c r="A52" s="28" t="n">
        <x:v>9</x:v>
      </x:c>
      <x:c r="B52" s="25" t="str">
        <x:v>AITools.inc</x:v>
      </x:c>
      <x:c r="C52" s="25" t="str">
        <x:v>aitools.inc</x:v>
      </x:c>
      <x:c r="D52" s="25" t="str">
        <x:v>已确认免费</x:v>
      </x:c>
      <x:c r="E52" s="25" t="str">
        <x:v>https://loxr142exnq.typeform.com/to/RB6ZnEf2</x:v>
      </x:c>
      <x:c r="F52" s="25" t="str">
        <x:v>已提交/待审核</x:v>
      </x:c>
      <x:c r="G52" s="31" t="str">
        <x:v>2026-08-02</x:v>
      </x:c>
      <x:c r="H52" s="25" t="str">
        <x:v>待验证</x:v>
      </x:c>
      <x:c r="I52" s="25" t="str">
        <x:v>按站点要求；上传后核对 files/预览</x:v>
      </x:c>
      <x:c r="J52" s="25" t="str">
        <x:v>Typeform 完成回执</x:v>
      </x:c>
      <x:c r="K52" s="25" t="str">
        <x:v>等待联系/上线</x:v>
      </x:c>
      <x:c r="L52" s="25" t="str">
        <x:v>https://aitools.inc/</x:v>
      </x:c>
    </x:row>
    <x:row r="53" ht="44" customHeight="1">
      <x:c r="A53" s="28" t="n">
        <x:v>9</x:v>
      </x:c>
      <x:c r="B53" s="25" t="str">
        <x:v>Uneed</x:v>
      </x:c>
      <x:c r="C53" s="25" t="str">
        <x:v>uneed.best</x:v>
      </x:c>
      <x:c r="D53" s="25" t="str">
        <x:v>已确认免费</x:v>
      </x:c>
      <x:c r="E53" s="25" t="str">
        <x:v>https://www.uneed.best/</x:v>
      </x:c>
      <x:c r="F53" s="25" t="str">
        <x:v>已提交/已排期</x:v>
      </x:c>
      <x:c r="G53" s="31" t="str">
        <x:v>2026-08-02</x:v>
      </x:c>
      <x:c r="H53" s="25" t="str">
        <x:v>待验证</x:v>
      </x:c>
      <x:c r="I53" s="25" t="str">
        <x:v>按站点要求；上传后核对 files/预览</x:v>
      </x:c>
      <x:c r="J53" s="25" t="str">
        <x:v>Launch Scheduled；2027-01-14</x:v>
      </x:c>
      <x:c r="K53" s="25" t="str">
        <x:v>上线日争取 10+ upvotes</x:v>
      </x:c>
      <x:c r="L53" s="25" t="str">
        <x:v>https://www.uneed.best/</x:v>
      </x:c>
    </x:row>
    <x:row r="54" ht="44" customHeight="1">
      <x:c r="A54" s="28" t="n">
        <x:v>9</x:v>
      </x:c>
      <x:c r="B54" s="25" t="str">
        <x:v>StartupBase</x:v>
      </x:c>
      <x:c r="C54" s="25" t="str">
        <x:v>startupbase.io</x:v>
      </x:c>
      <x:c r="D54" s="25" t="str">
        <x:v>已确认免费</x:v>
      </x:c>
      <x:c r="E54" s="25" t="str">
        <x:v>https://startupbase.io/</x:v>
      </x:c>
      <x:c r="F54" s="25" t="str">
        <x:v>已提交/待审核</x:v>
      </x:c>
      <x:c r="G54" s="31" t="str">
        <x:v>2026-08-02</x:v>
      </x:c>
      <x:c r="H54" s="25" t="str">
        <x:v>待验证</x:v>
      </x:c>
      <x:c r="I54" s="25" t="str">
        <x:v>按站点要求；上传后核对 files/预览</x:v>
      </x:c>
      <x:c r="J54" s="25" t="str">
        <x:v>产品页 Pending Review</x:v>
      </x:c>
      <x:c r="K54" s="25" t="str">
        <x:v>等待标准免费队列</x:v>
      </x:c>
      <x:c r="L54" s="25" t="str">
        <x:v>https://startupbase.io/</x:v>
      </x:c>
    </x:row>
    <x:row r="55" ht="44" customHeight="1">
      <x:c r="A55" s="29" t="n">
        <x:v>9</x:v>
      </x:c>
      <x:c r="B55" s="26" t="str">
        <x:v>Launching Next</x:v>
      </x:c>
      <x:c r="C55" s="26" t="str">
        <x:v>launchingnext.com</x:v>
      </x:c>
      <x:c r="D55" s="26" t="str">
        <x:v>已确认免费</x:v>
      </x:c>
      <x:c r="E55" s="26" t="str">
        <x:v>https://www.launchingnext.com/submit/</x:v>
      </x:c>
      <x:c r="F55" s="26" t="str">
        <x:v>已提交/排队</x:v>
      </x:c>
      <x:c r="G55" s="32" t="str">
        <x:v>2026-08-02</x:v>
      </x:c>
      <x:c r="H55" s="26" t="str">
        <x:v>待验证</x:v>
      </x:c>
      <x:c r="I55" s="26" t="str">
        <x:v>按站点要求；上传后核对 files/预览</x:v>
      </x:c>
      <x:c r="J55" s="26" t="str">
        <x:v>SUBMITTED；In Queue；回执 i=143041</x:v>
      </x:c>
      <x:c r="K55" s="26" t="str">
        <x:v>等待免费队列</x:v>
      </x:c>
      <x:c r="L55" s="26" t="str">
        <x:v>https://www.launchingnext.com/</x:v>
      </x:c>
    </x:row>
  </x:sheetData>
  <x:mergeCells>
    <x:mergeCell ref="A1:L1"/>
    <x:mergeCell ref="A2:L2"/>
  </x:mergeCells>
  <x:conditionalFormatting sqref="F6:F55">
    <x:cfRule type="containsText" dxfId="0" priority="1" operator="containsText" text="已提交"/>
    <x:cfRule type="containsText" dxfId="1" priority="2" operator="containsText" text="待人工"/>
  </x:conditionalFormatting>
  <x:dataValidations count="1">
    <x:dataValidation type="list" sqref="F6:F55">
      <x:formula1>"待提交,待人工,未确认,已提交/待审核,已提交/排队,已提交/已排期,跳过"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f53f6a46cd41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16" hidden="0" customWidth="1"/>
    <x:col min="4" max="4" width="14" hidden="0" customWidth="1"/>
    <x:col min="5" max="5" width="22" hidden="0" customWidth="1"/>
    <x:col min="6" max="6" width="48" hidden="0" customWidth="1"/>
    <x:col min="7" max="7" width="42" hidden="0" customWidth="1"/>
  </x:cols>
  <x:sheetData>
    <x:row r="1" ht="34" customHeight="1">
      <x:c r="A1" s="3" t="str">
        <x:v>2026-08-02 RainbowPetAI 提交记录</x:v>
      </x:c>
    </x:row>
    <x:row r="2" ht="30" customHeight="1">
      <x:c r="A2" s="7" t="str">
        <x:v>仅明确成功证据或用户人工确认写入成功；今天停止继续提交。</x:v>
      </x:c>
    </x:row>
    <x:row r="4">
      <x:c r="A4" s="15" t="str">
        <x:v>平台</x:v>
      </x:c>
      <x:c r="B4" s="15" t="str">
        <x:v>链接 / 回执</x:v>
      </x:c>
      <x:c r="C4" s="15" t="str">
        <x:v>结果</x:v>
      </x:c>
      <x:c r="D4" s="15" t="str">
        <x:v>确认来源</x:v>
      </x:c>
      <x:c r="E4" s="15" t="str">
        <x:v>日期时间</x:v>
      </x:c>
      <x:c r="F4" s="15" t="str">
        <x:v>成功证据 / 阻塞</x:v>
      </x:c>
      <x:c r="G4" s="15" t="str">
        <x:v>后续</x:v>
      </x:c>
    </x:row>
    <x:row r="5" ht="42" customHeight="1">
      <x:c r="A5" s="39" t="str">
        <x:v>TheJOAI</x:v>
      </x:c>
      <x:c r="B5" s="39" t="str">
        <x:v>https://thejoai.com/aitools/submissions/</x:v>
      </x:c>
      <x:c r="C5" s="39" t="str">
        <x:v>成功</x:v>
      </x:c>
      <x:c r="D5" s="39" t="str">
        <x:v>agent</x:v>
      </x:c>
      <x:c r="E5" s="39" t="str">
        <x:v>2026-08-02 09:17:07</x:v>
      </x:c>
      <x:c r="F5" s="39" t="str">
        <x:v>Excellent submission；账户 Submitted for Review</x:v>
      </x:c>
      <x:c r="G5" s="39" t="str">
        <x:v>主图和 Logo 均为真实文件</x:v>
      </x:c>
    </x:row>
    <x:row r="6" ht="42" customHeight="1">
      <x:c r="A6" s="40" t="str">
        <x:v>Launching Next</x:v>
      </x:c>
      <x:c r="B6" s="40" t="str">
        <x:v>https://www.launchingnext.com/thanks/?i=143041</x:v>
      </x:c>
      <x:c r="C6" s="40" t="str">
        <x:v>成功</x:v>
      </x:c>
      <x:c r="D6" s="40" t="str">
        <x:v>agent</x:v>
      </x:c>
      <x:c r="E6" s="40" t="str">
        <x:v>2026-08-02</x:v>
      </x:c>
      <x:c r="F6" s="40" t="str">
        <x:v>SUBMITTED；In Queue</x:v>
      </x:c>
      <x:c r="G6" s="40" t="str">
        <x:v>未购买 $99 加速</x:v>
      </x:c>
    </x:row>
    <x:row r="7" ht="42" customHeight="1">
      <x:c r="A7" s="40" t="str">
        <x:v>StartupBase</x:v>
      </x:c>
      <x:c r="B7" s="40" t="str">
        <x:v>https://startupbase.io/products/rainbowpetai</x:v>
      </x:c>
      <x:c r="C7" s="40" t="str">
        <x:v>成功</x:v>
      </x:c>
      <x:c r="D7" s="40" t="str">
        <x:v>agent</x:v>
      </x:c>
      <x:c r="E7" s="40" t="str">
        <x:v>2026-08-02</x:v>
      </x:c>
      <x:c r="F7" s="40" t="str">
        <x:v>Pending Review</x:v>
      </x:c>
      <x:c r="G7" s="40" t="str">
        <x:v>标准免费队列；已完成社区互动要求</x:v>
      </x:c>
    </x:row>
    <x:row r="8" ht="42" customHeight="1">
      <x:c r="A8" s="40" t="str">
        <x:v>AITools.inc</x:v>
      </x:c>
      <x:c r="B8" s="40" t="str">
        <x:v>https://loxr142exnq.typeform.com/to/RB6ZnEf2</x:v>
      </x:c>
      <x:c r="C8" s="40" t="str">
        <x:v>成功</x:v>
      </x:c>
      <x:c r="D8" s="40" t="str">
        <x:v>agent</x:v>
      </x:c>
      <x:c r="E8" s="40" t="str">
        <x:v>2026-08-02</x:v>
      </x:c>
      <x:c r="F8" s="40" t="str">
        <x:v>Thanks end screen</x:v>
      </x:c>
      <x:c r="G8" s="40" t="str">
        <x:v>等待联系/上线</x:v>
      </x:c>
    </x:row>
    <x:row r="9" ht="42" customHeight="1">
      <x:c r="A9" s="40" t="str">
        <x:v>Uneed</x:v>
      </x:c>
      <x:c r="B9" s="40" t="str">
        <x:v>https://www.uneed.best/tool/rainbowpetai</x:v>
      </x:c>
      <x:c r="C9" s="40" t="str">
        <x:v>成功</x:v>
      </x:c>
      <x:c r="D9" s="40" t="str">
        <x:v>agent</x:v>
      </x:c>
      <x:c r="E9" s="40" t="str">
        <x:v>2026-08-02</x:v>
      </x:c>
      <x:c r="F9" s="40" t="str">
        <x:v>Launch Scheduled</x:v>
      </x:c>
      <x:c r="G9" s="40" t="str">
        <x:v>排期 2027-01-14；上线日需 10+ upvotes</x:v>
      </x:c>
    </x:row>
    <x:row r="10" ht="42" customHeight="1">
      <x:c r="A10" s="40" t="str">
        <x:v>FutureTools</x:v>
      </x:c>
      <x:c r="B10" s="40" t="str">
        <x:v>https://www.futuretools.io/submit-a-tool</x:v>
      </x:c>
      <x:c r="C10" s="40" t="str">
        <x:v>成功</x:v>
      </x:c>
      <x:c r="D10" s="40" t="str">
        <x:v>manual</x:v>
      </x:c>
      <x:c r="E10" s="40" t="str">
        <x:v>2026-08-02</x:v>
      </x:c>
      <x:c r="F10" s="40" t="str">
        <x:v>用户人工确认已提交</x:v>
      </x:c>
      <x:c r="G10" s="40" t="str">
        <x:v>等待审核</x:v>
      </x:c>
    </x:row>
    <x:row r="11" ht="42" customHeight="1">
      <x:c r="A11" s="40" t="str">
        <x:v>FiveTaco</x:v>
      </x:c>
      <x:c r="B11" s="40" t="str">
        <x:v>https://fivetaco.com/submit</x:v>
      </x:c>
      <x:c r="C11" s="40" t="str">
        <x:v>未确认</x:v>
      </x:c>
      <x:c r="D11" s="40" t="str">
        <x:v>—</x:v>
      </x:c>
      <x:c r="E11" s="40" t="str">
        <x:v>2026-08-02</x:v>
      </x:c>
      <x:c r="F11" s="40" t="str">
        <x:v>没有成功页或可靠回执</x:v>
      </x:c>
      <x:c r="G11" s="40" t="str">
        <x:v>下次先查账户/邮件/站内搜索</x:v>
      </x:c>
    </x:row>
    <x:row r="12" ht="42" customHeight="1">
      <x:c r="A12" s="40" t="str">
        <x:v>ToolDirectory.ai</x:v>
      </x:c>
      <x:c r="B12" s="40" t="str">
        <x:v>https://tooldirectory.ai/submit-tool</x:v>
      </x:c>
      <x:c r="C12" s="40" t="str">
        <x:v>付费</x:v>
      </x:c>
      <x:c r="D12" s="40" t="str">
        <x:v>—</x:v>
      </x:c>
      <x:c r="E12" s="40" t="str">
        <x:v>2026-08-02</x:v>
      </x:c>
      <x:c r="F12" s="40" t="str">
        <x:v>$9.99 Premium Subscription</x:v>
      </x:c>
      <x:c r="G12" s="40" t="str">
        <x:v>未购买；永久排除免费批次</x:v>
      </x:c>
    </x:row>
    <x:row r="13" ht="42" customHeight="1">
      <x:c r="A13" s="40" t="str">
        <x:v>Webwiki</x:v>
      </x:c>
      <x:c r="B13" s="40" t="str">
        <x:v>https://www.webwiki.com/</x:v>
      </x:c>
      <x:c r="C13" s="40" t="str">
        <x:v>待人工</x:v>
      </x:c>
      <x:c r="D13" s="40" t="str">
        <x:v>—</x:v>
      </x:c>
      <x:c r="E13" s="40" t="str">
        <x:v>2026-08-02</x:v>
      </x:c>
      <x:c r="F13" s="40" t="str">
        <x:v>Cloudflare 验证</x:v>
      </x:c>
      <x:c r="G13" s="40" t="str">
        <x:v>人工处理后恢复</x:v>
      </x:c>
    </x:row>
    <x:row r="14" ht="42" customHeight="1">
      <x:c r="A14" s="40" t="str">
        <x:v>Submission Web Directory</x:v>
      </x:c>
      <x:c r="B14" s="40" t="str">
        <x:v>https://www.submissionwebdirectory.com/</x:v>
      </x:c>
      <x:c r="C14" s="40" t="str">
        <x:v>待人工</x:v>
      </x:c>
      <x:c r="D14" s="40" t="str">
        <x:v>—</x:v>
      </x:c>
      <x:c r="E14" s="40" t="str">
        <x:v>2026-08-02</x:v>
      </x:c>
      <x:c r="F14" s="40" t="str">
        <x:v>图形安全码</x:v>
      </x:c>
      <x:c r="G14" s="40" t="str">
        <x:v>人工输入后恢复</x:v>
      </x:c>
    </x:row>
    <x:row r="15" ht="42" customHeight="1">
      <x:c r="A15" s="40" t="str">
        <x:v>Alternative.me</x:v>
      </x:c>
      <x:c r="B15" s="40" t="str">
        <x:v>https://alternative.me/how-to/submit-software/</x:v>
      </x:c>
      <x:c r="C15" s="40" t="str">
        <x:v>待人工</x:v>
      </x:c>
      <x:c r="D15" s="40" t="str">
        <x:v>—</x:v>
      </x:c>
      <x:c r="E15" s="40" t="str">
        <x:v>2026-08-02</x:v>
      </x:c>
      <x:c r="F15" s="40" t="str">
        <x:v>需要账号密码</x:v>
      </x:c>
      <x:c r="G15" s="40" t="str">
        <x:v>人工账号交接</x:v>
      </x:c>
    </x:row>
    <x:row r="16" ht="42" customHeight="1">
      <x:c r="A16" s="41" t="str">
        <x:v>SaaSAITools</x:v>
      </x:c>
      <x:c r="B16" s="41" t="str">
        <x:v>https://saasaitools.com/join/</x:v>
      </x:c>
      <x:c r="C16" s="41" t="str">
        <x:v>待人工</x:v>
      </x:c>
      <x:c r="D16" s="41" t="str">
        <x:v>—</x:v>
      </x:c>
      <x:c r="E16" s="41" t="str">
        <x:v>2026-08-02</x:v>
      </x:c>
      <x:c r="F16" s="41" t="str">
        <x:v>需要注册登录</x:v>
      </x:c>
      <x:c r="G16" s="41" t="str">
        <x:v>人工注册后恢复</x:v>
      </x:c>
    </x:row>
  </x:sheetData>
  <x:mergeCells>
    <x:mergeCell ref="A1:G1"/>
    <x:mergeCell ref="A2:G2"/>
  </x:mergeCells>
  <x:conditionalFormatting sqref="C5:C16">
    <x:cfRule type="containsText" dxfId="2" priority="1" operator="containsText" text="成功"/>
    <x:cfRule type="containsText" dxfId="3" priority="2" operator="containsText" text="待人工"/>
    <x:cfRule type="containsText" dxfId="4" priority="3" operator="containsText" text="付费"/>
  </x:conditionalFormatting>
  <x:pageMargins left="0.7" right="0.7" top="0.75" bottom="0.75" header="0.3" footer="0.3"/>
  <x:tableParts count="1">
    <x:tablePart xmlns:r="http://schemas.openxmlformats.org/officeDocument/2006/relationships" r:id="R196091a3d94345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16" hidden="0" customWidth="1"/>
    <x:col min="5" max="5" width="42" hidden="0" customWidth="1"/>
    <x:col min="6" max="6" width="48" hidden="0" customWidth="1"/>
    <x:col min="7" max="7" width="34" hidden="0" customWidth="1"/>
    <x:col min="8" max="8" width="14" hidden="0" customWidth="1"/>
  </x:cols>
  <x:sheetData>
    <x:row r="1" ht="34" customHeight="1">
      <x:c r="A1" s="3" t="str">
        <x:v>阻塞、付费与不适用站点</x:v>
      </x:c>
    </x:row>
    <x:row r="2" ht="30" customHeight="1">
      <x:c r="A2" s="7" t="str">
        <x:v>这些站点不得混入免费自动批次；临时闸门由人工处理后再恢复。</x:v>
      </x:c>
    </x:row>
    <x:row r="4">
      <x:c r="A4" s="15" t="str">
        <x:v>平台</x:v>
      </x:c>
      <x:c r="B4" s="15" t="str">
        <x:v>域名</x:v>
      </x:c>
      <x:c r="C4" s="15" t="str">
        <x:v>分类</x:v>
      </x:c>
      <x:c r="D4" s="15" t="str">
        <x:v>闸门</x:v>
      </x:c>
      <x:c r="E4" s="15" t="str">
        <x:v>入口</x:v>
      </x:c>
      <x:c r="F4" s="15" t="str">
        <x:v>证据 / 原因</x:v>
      </x:c>
      <x:c r="G4" s="15" t="str">
        <x:v>处理规则</x:v>
      </x:c>
      <x:c r="H4" s="15" t="str">
        <x:v>核对日期</x:v>
      </x:c>
    </x:row>
    <x:row r="5" ht="42" customHeight="1">
      <x:c r="A5" s="39" t="str">
        <x:v>AIPURE</x:v>
      </x:c>
      <x:c r="B5" s="39" t="str">
        <x:v>aipure.ai</x:v>
      </x:c>
      <x:c r="C5" s="39" t="str">
        <x:v>已确认付费</x:v>
      </x:c>
      <x:c r="D5" s="39" t="str">
        <x:v>付费</x:v>
      </x:c>
      <x:c r="E5" s="39" t="str">
        <x:v>https://aipure.ai/</x:v>
      </x:c>
      <x:c r="F5" s="39" t="str">
        <x:v>$69.90</x:v>
      </x:c>
      <x:c r="G5" s="39" t="str">
        <x:v>不要提交</x:v>
      </x:c>
      <x:c r="H5" s="39" t="str">
        <x:v>2026-08-02</x:v>
      </x:c>
    </x:row>
    <x:row r="6" ht="42" customHeight="1">
      <x:c r="A6" s="40" t="str">
        <x:v>TopAI.tools</x:v>
      </x:c>
      <x:c r="B6" s="40" t="str">
        <x:v>topai.tools</x:v>
      </x:c>
      <x:c r="C6" s="40" t="str">
        <x:v>已确认付费</x:v>
      </x:c>
      <x:c r="D6" s="40" t="str">
        <x:v>付费</x:v>
      </x:c>
      <x:c r="E6" s="40" t="str">
        <x:v>https://topai.tools/</x:v>
      </x:c>
      <x:c r="F6" s="40" t="str">
        <x:v>$47</x:v>
      </x:c>
      <x:c r="G6" s="40" t="str">
        <x:v>不要提交</x:v>
      </x:c>
      <x:c r="H6" s="40" t="str">
        <x:v>2026-08-02</x:v>
      </x:c>
    </x:row>
    <x:row r="7" ht="42" customHeight="1">
      <x:c r="A7" s="40" t="str">
        <x:v>Toolify</x:v>
      </x:c>
      <x:c r="B7" s="40" t="str">
        <x:v>toolify.ai</x:v>
      </x:c>
      <x:c r="C7" s="40" t="str">
        <x:v>已确认付费</x:v>
      </x:c>
      <x:c r="D7" s="40" t="str">
        <x:v>付费</x:v>
      </x:c>
      <x:c r="E7" s="40" t="str">
        <x:v>https://www.toolify.ai/</x:v>
      </x:c>
      <x:c r="F7" s="40" t="str">
        <x:v>$99</x:v>
      </x:c>
      <x:c r="G7" s="40" t="str">
        <x:v>不要提交</x:v>
      </x:c>
      <x:c r="H7" s="40" t="str">
        <x:v>2026-08-02</x:v>
      </x:c>
    </x:row>
    <x:row r="8" ht="42" customHeight="1">
      <x:c r="A8" s="40" t="str">
        <x:v>G2</x:v>
      </x:c>
      <x:c r="B8" s="40" t="str">
        <x:v>g2.com</x:v>
      </x:c>
      <x:c r="C8" s="40" t="str">
        <x:v>流程不适用</x:v>
      </x:c>
      <x:c r="D8" s="40" t="str">
        <x:v>登录</x:v>
      </x:c>
      <x:c r="E8" s="40" t="str">
        <x:v>https://www.g2.com/</x:v>
      </x:c>
      <x:c r="F8" s="40" t="str">
        <x:v>注册后仍无法找到有效提交闭环</x:v>
      </x:c>
      <x:c r="G8" s="40" t="str">
        <x:v>暂不处理</x:v>
      </x:c>
      <x:c r="H8" s="40" t="str">
        <x:v>2026-08-02</x:v>
      </x:c>
    </x:row>
    <x:row r="9" ht="42" customHeight="1">
      <x:c r="A9" s="40" t="str">
        <x:v>Bunity</x:v>
      </x:c>
      <x:c r="B9" s="40" t="str">
        <x:v>bunity.com</x:v>
      </x:c>
      <x:c r="C9" s="40" t="str">
        <x:v>流程不适用</x:v>
      </x:c>
      <x:c r="D9" s="40" t="str">
        <x:v>认领/付费</x:v>
      </x:c>
      <x:c r="E9" s="40" t="str">
        <x:v>https://www.bunity.com/</x:v>
      </x:c>
      <x:c r="F9" s="40" t="str">
        <x:v>当前是认领已有企业且收费</x:v>
      </x:c>
      <x:c r="G9" s="40" t="str">
        <x:v>跳过</x:v>
      </x:c>
      <x:c r="H9" s="40" t="str">
        <x:v>2026-08-02</x:v>
      </x:c>
    </x:row>
    <x:row r="10" ht="42" customHeight="1">
      <x:c r="A10" s="41" t="str">
        <x:v>ToolDirectory.ai</x:v>
      </x:c>
      <x:c r="B10" s="41" t="str">
        <x:v>tooldirectory.ai</x:v>
      </x:c>
      <x:c r="C10" s="41" t="str">
        <x:v>已确认付费</x:v>
      </x:c>
      <x:c r="D10" s="41" t="str">
        <x:v>付费</x:v>
      </x:c>
      <x:c r="E10" s="41" t="str">
        <x:v>https://tooldirectory.ai/submit-tool</x:v>
      </x:c>
      <x:c r="F10" s="41" t="str">
        <x:v>$9.99 Premium Submission；未购买</x:v>
      </x:c>
      <x:c r="G10" s="41" t="str">
        <x:v>不要提交</x:v>
      </x:c>
      <x:c r="H10" s="41" t="str">
        <x:v>2026-08-02</x:v>
      </x:c>
    </x:row>
  </x:sheetData>
  <x:mergeCells>
    <x:mergeCell ref="A1:H1"/>
    <x:mergeCell ref="A2:H2"/>
  </x:mergeCells>
  <x:conditionalFormatting sqref="C5:C10">
    <x:cfRule type="containsText" dxfId="5" priority="1" operator="containsText" text="付费"/>
  </x:conditionalFormatting>
  <x:pageMargins left="0.7" right="0.7" top="0.75" bottom="0.75" header="0.3" footer="0.3"/>
  <x:tableParts count="1">
    <x:tablePart xmlns:r="http://schemas.openxmlformats.org/officeDocument/2006/relationships" r:id="Ra180564c391746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42" hidden="0" customWidth="1"/>
    <x:col min="4" max="4" width="38" hidden="0" customWidth="1"/>
    <x:col min="5" max="5" width="32" hidden="0" customWidth="1"/>
    <x:col min="6" max="6" width="34" hidden="0" customWidth="1"/>
  </x:cols>
  <x:sheetData>
    <x:row r="1" ht="34" customHeight="1">
      <x:c r="A1" s="3" t="str">
        <x:v>AI 外链提交交接协议</x:v>
      </x:c>
    </x:row>
    <x:row r="2" ht="30" customHeight="1">
      <x:c r="A2" s="7" t="str">
        <x:v>每次新会话先读本页和“免费提交队列”，再读取插件成功账本。</x:v>
      </x:c>
    </x:row>
    <x:row r="4">
      <x:c r="A4" s="15" t="str">
        <x:v>步骤</x:v>
      </x:c>
      <x:c r="B4" s="15" t="str">
        <x:v>必须做</x:v>
      </x:c>
      <x:c r="C4" s="15" t="str">
        <x:v>禁止做</x:v>
      </x:c>
      <x:c r="D4" s="15" t="str">
        <x:v>完成标准</x:v>
      </x:c>
      <x:c r="E4" s="15" t="str">
        <x:v>交接记录</x:v>
      </x:c>
      <x:c r="F4" s="15" t="str">
        <x:v>相关位置</x:v>
      </x:c>
    </x:row>
    <x:row r="5" ht="54" customHeight="1">
      <x:c r="A5" s="39" t="n">
        <x:v>1</x:v>
      </x:c>
      <x:c r="B5" s="39" t="str">
        <x:v>选择一个或多个 Profile，并读取 submissionRecords</x:v>
      </x:c>
      <x:c r="C5" s="39" t="str">
        <x:v>不得重复提交成功组合</x:v>
      </x:c>
      <x:c r="D5" s="39" t="str">
        <x:v>列出待提交组合数与历史跳过数</x:v>
      </x:c>
      <x:c r="E5" s="39" t="str">
        <x:v>记录本轮 Profile</x:v>
      </x:c>
      <x:c r="F5" s="39" t="str">
        <x:v>插件：批量</x:v>
      </x:c>
    </x:row>
    <x:row r="6" ht="54" customHeight="1">
      <x:c r="A6" s="40" t="n">
        <x:v>2</x:v>
      </x:c>
      <x:c r="B6" s="40" t="str">
        <x:v>只从免费队列挑选；先核对页面仍有免费入口</x:v>
      </x:c>
      <x:c r="C6" s="40" t="str">
        <x:v>不得购买加速、订阅或付费收录</x:v>
      </x:c>
      <x:c r="D6" s="40" t="str">
        <x:v>免费路径明确</x:v>
      </x:c>
      <x:c r="E6" s="40" t="str">
        <x:v>记录价格检查</x:v>
      </x:c>
      <x:c r="F6" s="40" t="str">
        <x:v>免费提交队列</x:v>
      </x:c>
    </x:row>
    <x:row r="7" ht="54" customHeight="1">
      <x:c r="A7" s="40" t="n">
        <x:v>3</x:v>
      </x:c>
      <x:c r="B7" s="40" t="str">
        <x:v>填表前复核名称、URL、描述、分类和媒体</x:v>
      </x:c>
      <x:c r="C7" s="40" t="str">
        <x:v>不得把文件名文本当成图片上传</x:v>
      </x:c>
      <x:c r="D7" s="40" t="str">
        <x:v>文件控件有真实 files/预览或远程图片被站点接受</x:v>
      </x:c>
      <x:c r="E7" s="40" t="str">
        <x:v>记录 logo/截图状态</x:v>
      </x:c>
      <x:c r="F7" s="40" t="str">
        <x:v>RainbowPetAI Profile</x:v>
      </x:c>
    </x:row>
    <x:row r="8" ht="54" customHeight="1">
      <x:c r="A8" s="40" t="n">
        <x:v>4</x:v>
      </x:c>
      <x:c r="B8" s="40" t="str">
        <x:v>提交前检查必填字段、错别字、条款和公开内容</x:v>
      </x:c>
      <x:c r="C8" s="40" t="str">
        <x:v>不得在未审核时直接最终提交</x:v>
      </x:c>
      <x:c r="D8" s="40" t="str">
        <x:v>表单无明显问题</x:v>
      </x:c>
      <x:c r="E8" s="40" t="str">
        <x:v>写预审摘要</x:v>
      </x:c>
      <x:c r="F8" s="40" t="str">
        <x:v>当前页</x:v>
      </x:c>
    </x:row>
    <x:row r="9" ht="54" customHeight="1">
      <x:c r="A9" s="40" t="n">
        <x:v>5</x:v>
      </x:c>
      <x:c r="B9" s="40" t="str">
        <x:v>遇到 CAPTCHA、OTP、密码登录立即停放</x:v>
      </x:c>
      <x:c r="C9" s="40" t="str">
        <x:v>不得破解、绕过或索取不必要凭据</x:v>
      </x:c>
      <x:c r="D9" s="40" t="str">
        <x:v>待人工列表中可恢复</x:v>
      </x:c>
      <x:c r="E9" s="40" t="str">
        <x:v>写清具体阻塞</x:v>
      </x:c>
      <x:c r="F9" s="40" t="str">
        <x:v>插件：待人工</x:v>
      </x:c>
    </x:row>
    <x:row r="10" ht="54" customHeight="1">
      <x:c r="A10" s="40" t="n">
        <x:v>6</x:v>
      </x:c>
      <x:c r="B10" s="40" t="str">
        <x:v>仅在成功页、成功文案、账户状态明确时记 agent success</x:v>
      </x:c>
      <x:c r="C10" s="40" t="str">
        <x:v>不得用按钮点击、URL 已填或无报错代替成功</x:v>
      </x:c>
      <x:c r="D10" s="40" t="str">
        <x:v>证据可复核</x:v>
      </x:c>
      <x:c r="E10" s="40" t="str">
        <x:v>保存回执 URL/文案</x:v>
      </x:c>
      <x:c r="F10" s="40" t="str">
        <x:v>submissionRecords</x:v>
      </x:c>
    </x:row>
    <x:row r="11" ht="54" customHeight="1">
      <x:c r="A11" s="40" t="n">
        <x:v>7</x:v>
      </x:c>
      <x:c r="B11" s="40" t="str">
        <x:v>用户明确说已成功时可记 manual success</x:v>
      </x:c>
      <x:c r="C11" s="40" t="str">
        <x:v>不得把推测写成用户确认</x:v>
      </x:c>
      <x:c r="D11" s="40" t="str">
        <x:v>confirmedBy=manual</x:v>
      </x:c>
      <x:c r="E11" s="40" t="str">
        <x:v>原样概括用户确认</x:v>
      </x:c>
      <x:c r="F11" s="40" t="str">
        <x:v>submissionRecords</x:v>
      </x:c>
    </x:row>
    <x:row r="12" ht="54" customHeight="1">
      <x:c r="A12" s="40" t="n">
        <x:v>8</x:v>
      </x:c>
      <x:c r="B12" s="40" t="str">
        <x:v>每完成一个站立即更新日期、证据和下一步</x:v>
      </x:c>
      <x:c r="C12" s="40" t="str">
        <x:v>不得等到批量结束后凭记忆补录</x:v>
      </x:c>
      <x:c r="D12" s="40" t="str">
        <x:v>日报和账本一致</x:v>
      </x:c>
      <x:c r="E12" s="40" t="str">
        <x:v>更新本表</x:v>
      </x:c>
      <x:c r="F12" s="40" t="str">
        <x:v>今日提交记录</x:v>
      </x:c>
    </x:row>
    <x:row r="13" ht="54" customHeight="1">
      <x:c r="A13" s="40" t="n">
        <x:v>9</x:v>
      </x:c>
      <x:c r="B13" s="40" t="str">
        <x:v>同站多个 Profile 按选择顺序提交</x:v>
      </x:c>
      <x:c r="C13" s="40" t="str">
        <x:v>单项目失败不得把整个站标坏</x:v>
      </x:c>
      <x:c r="D13" s="40" t="str">
        <x:v>兄弟任务仍可继续</x:v>
      </x:c>
      <x:c r="E13" s="40" t="str">
        <x:v>逐 Profile 记录</x:v>
      </x:c>
      <x:c r="F13" s="40" t="str">
        <x:v>插件：执行</x:v>
      </x:c>
    </x:row>
    <x:row r="14" ht="54" customHeight="1">
      <x:c r="A14" s="41" t="n">
        <x:v>10</x:v>
      </x:c>
      <x:c r="B14" s="41" t="str">
        <x:v>结束时输出成功、待人工、未确认、付费排除汇总</x:v>
      </x:c>
      <x:c r="C14" s="41" t="str">
        <x:v>不得把未确认算入成功数</x:v>
      </x:c>
      <x:c r="D14" s="41" t="str">
        <x:v>总数可对账</x:v>
      </x:c>
      <x:c r="E14" s="41" t="str">
        <x:v>更新进度文档</x:v>
      </x:c>
      <x:c r="F14" s="41" t="str">
        <x:v>PROJECT_CONTEXT.md / 进度.md</x:v>
      </x:c>
    </x:row>
    <x:row r="16">
      <x:c r="A16" s="42" t="str">
        <x:v>RainbowPetAI 提交资料速查</x:v>
      </x:c>
    </x:row>
    <x:row r="17" ht="32" customHeight="1">
      <x:c r="A17" s="44" t="str">
        <x:v>Profile ID</x:v>
      </x:c>
      <x:c r="B17" s="45" t="str">
        <x:v>RainbowPetAI</x:v>
      </x:c>
    </x:row>
    <x:row r="18" ht="32" customHeight="1">
      <x:c r="A18" s="44" t="str">
        <x:v>网站</x:v>
      </x:c>
      <x:c r="B18" s="45" t="str">
        <x:v>https://rainbowpetai.com</x:v>
      </x:c>
    </x:row>
    <x:row r="19" ht="32" customHeight="1">
      <x:c r="A19" s="44" t="str">
        <x:v>联系邮箱</x:v>
      </x:c>
      <x:c r="B19" s="45" t="str">
        <x:v>syndredyoung@gmail.com</x:v>
      </x:c>
    </x:row>
    <x:row r="20" ht="32" customHeight="1">
      <x:c r="A20" s="44" t="str">
        <x:v>Logo</x:v>
      </x:c>
      <x:c r="B20" s="45" t="str">
        <x:v>https://rainbowpetai.com/logo.png</x:v>
      </x:c>
    </x:row>
    <x:row r="21" ht="44" customHeight="1">
      <x:c r="A21" s="44" t="str">
        <x:v>主图</x:v>
      </x:c>
      <x:c r="B21" s="45" t="str">
        <x:v>https://rainbowpetai.com/imgs/generated/home-hero-gpt-image-2.webp</x:v>
      </x:c>
    </x:row>
    <x:row r="22" ht="32" customHeight="1">
      <x:c r="A22" s="44" t="str">
        <x:v>增量账本</x:v>
      </x:c>
      <x:c r="B22" s="45" t="str">
        <x:v>data/submission-handoff-2026-08-02.json</x:v>
      </x:c>
    </x:row>
  </x:sheetData>
  <x:mergeCells>
    <x:mergeCell ref="A1:F1"/>
    <x:mergeCell ref="A2:F2"/>
    <x:mergeCell ref="A16:F16"/>
  </x:mergeCells>
  <x:pageMargins left="0.7" right="0.7" top="0.75" bottom="0.75" header="0.3" footer="0.3"/>
</x:worksheet>
</file>